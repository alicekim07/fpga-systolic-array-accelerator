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piano/Desktop/Everything/AI/MobileNetV2/"/>
    </mc:Choice>
  </mc:AlternateContent>
  <xr:revisionPtr revIDLastSave="0" documentId="13_ncr:1_{ACDB1D81-F2E7-BA40-BFFF-1F1456827633}" xr6:coauthVersionLast="47" xr6:coauthVersionMax="47" xr10:uidLastSave="{00000000-0000-0000-0000-000000000000}"/>
  <bookViews>
    <workbookView xWindow="35840" yWindow="0" windowWidth="38400" windowHeight="21600" xr2:uid="{EB7FD7C8-8743-474B-B0AC-B221FB85438A}"/>
  </bookViews>
  <sheets>
    <sheet name="Master Table" sheetId="7" r:id="rId1"/>
    <sheet name="Overall Summary Table" sheetId="8" r:id="rId2"/>
    <sheet name="Roofline Summary Table" sheetId="11" r:id="rId3"/>
    <sheet name="Type Summary Table" sheetId="10" r:id="rId4"/>
    <sheet name="Host Breakdown Summary" sheetId="1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4" i="10" l="1"/>
  <c r="E3" i="10"/>
  <c r="E2" i="10"/>
  <c r="B2" i="8" l="1"/>
  <c r="E2" i="8"/>
  <c r="B4" i="12" l="1"/>
  <c r="B3" i="12"/>
  <c r="B2" i="12"/>
  <c r="D4" i="10"/>
  <c r="D3" i="10"/>
  <c r="D2" i="10"/>
  <c r="D2" i="11"/>
  <c r="D3" i="11" s="1"/>
  <c r="D4" i="11" s="1"/>
  <c r="H2" i="8"/>
  <c r="D2" i="8"/>
  <c r="AR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R35" i="7"/>
  <c r="AR2" i="7"/>
  <c r="AQ3" i="7"/>
  <c r="AQ4" i="7"/>
  <c r="AQ5" i="7"/>
  <c r="AQ6" i="7"/>
  <c r="AQ7" i="7"/>
  <c r="AQ8" i="7"/>
  <c r="AQ9" i="7"/>
  <c r="AQ10" i="7"/>
  <c r="AQ11" i="7"/>
  <c r="AQ12" i="7"/>
  <c r="AQ13" i="7"/>
  <c r="AQ14" i="7"/>
  <c r="AQ15" i="7"/>
  <c r="AQ16" i="7"/>
  <c r="AQ17" i="7"/>
  <c r="AQ18" i="7"/>
  <c r="AQ19" i="7"/>
  <c r="AQ20" i="7"/>
  <c r="AQ21" i="7"/>
  <c r="AQ22" i="7"/>
  <c r="AQ23" i="7"/>
  <c r="AQ24" i="7"/>
  <c r="AQ25" i="7"/>
  <c r="AQ26" i="7"/>
  <c r="AQ27" i="7"/>
  <c r="AQ28" i="7"/>
  <c r="AQ29" i="7"/>
  <c r="AQ30" i="7"/>
  <c r="AQ31" i="7"/>
  <c r="AQ32" i="7"/>
  <c r="AQ33" i="7"/>
  <c r="AQ34" i="7"/>
  <c r="AQ35" i="7"/>
  <c r="AQ2" i="7"/>
  <c r="AP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P35" i="7"/>
  <c r="AP2" i="7"/>
  <c r="AG3" i="7"/>
  <c r="AG4" i="7"/>
  <c r="AG5" i="7"/>
  <c r="AG6" i="7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2" i="7"/>
  <c r="AF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2" i="7"/>
  <c r="B4" i="10"/>
  <c r="B3" i="10"/>
  <c r="B2" i="10"/>
  <c r="A2" i="8"/>
  <c r="S2" i="7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2" i="7"/>
  <c r="V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2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2" i="7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2" i="7"/>
  <c r="F35" i="7"/>
  <c r="I35" i="7" s="1"/>
  <c r="F34" i="7"/>
  <c r="I34" i="7" s="1"/>
  <c r="F33" i="7"/>
  <c r="I33" i="7" s="1"/>
  <c r="Z33" i="7" s="1"/>
  <c r="F32" i="7"/>
  <c r="N32" i="7" s="1"/>
  <c r="F31" i="7"/>
  <c r="I31" i="7" s="1"/>
  <c r="Z31" i="7" s="1"/>
  <c r="F30" i="7"/>
  <c r="I30" i="7" s="1"/>
  <c r="Z30" i="7" s="1"/>
  <c r="F29" i="7"/>
  <c r="N29" i="7" s="1"/>
  <c r="F28" i="7"/>
  <c r="N28" i="7" s="1"/>
  <c r="F27" i="7"/>
  <c r="I27" i="7" s="1"/>
  <c r="Z27" i="7" s="1"/>
  <c r="F26" i="7"/>
  <c r="I26" i="7" s="1"/>
  <c r="Z26" i="7" s="1"/>
  <c r="F25" i="7"/>
  <c r="I25" i="7" s="1"/>
  <c r="Z25" i="7" s="1"/>
  <c r="F24" i="7"/>
  <c r="I24" i="7" s="1"/>
  <c r="Z24" i="7" s="1"/>
  <c r="F23" i="7"/>
  <c r="I23" i="7" s="1"/>
  <c r="Z23" i="7" s="1"/>
  <c r="F22" i="7"/>
  <c r="I22" i="7" s="1"/>
  <c r="Z22" i="7" s="1"/>
  <c r="F21" i="7"/>
  <c r="N21" i="7" s="1"/>
  <c r="F20" i="7"/>
  <c r="I20" i="7" s="1"/>
  <c r="F19" i="7"/>
  <c r="N19" i="7" s="1"/>
  <c r="F18" i="7"/>
  <c r="I18" i="7" s="1"/>
  <c r="F17" i="7"/>
  <c r="N17" i="7" s="1"/>
  <c r="F16" i="7"/>
  <c r="N16" i="7" s="1"/>
  <c r="F15" i="7"/>
  <c r="N15" i="7" s="1"/>
  <c r="F14" i="7"/>
  <c r="I14" i="7" s="1"/>
  <c r="Z14" i="7" s="1"/>
  <c r="F13" i="7"/>
  <c r="N13" i="7" s="1"/>
  <c r="F12" i="7"/>
  <c r="I12" i="7" s="1"/>
  <c r="Z12" i="7" s="1"/>
  <c r="F11" i="7"/>
  <c r="I11" i="7" s="1"/>
  <c r="Z11" i="7" s="1"/>
  <c r="F10" i="7"/>
  <c r="I10" i="7" s="1"/>
  <c r="Z10" i="7" s="1"/>
  <c r="F9" i="7"/>
  <c r="I9" i="7" s="1"/>
  <c r="Z9" i="7" s="1"/>
  <c r="F8" i="7"/>
  <c r="I8" i="7" s="1"/>
  <c r="Z8" i="7" s="1"/>
  <c r="F7" i="7"/>
  <c r="N7" i="7" s="1"/>
  <c r="F6" i="7"/>
  <c r="I6" i="7" s="1"/>
  <c r="Z6" i="7" s="1"/>
  <c r="F5" i="7"/>
  <c r="N5" i="7" s="1"/>
  <c r="F4" i="7"/>
  <c r="I4" i="7" s="1"/>
  <c r="F3" i="7"/>
  <c r="I3" i="7" s="1"/>
  <c r="F2" i="7"/>
  <c r="I2" i="7" s="1"/>
  <c r="AA34" i="7" l="1"/>
  <c r="AA3" i="7"/>
  <c r="AA18" i="7"/>
  <c r="AA4" i="7"/>
  <c r="AA2" i="7"/>
  <c r="AA35" i="7"/>
  <c r="AA20" i="7"/>
  <c r="Y31" i="7"/>
  <c r="Y30" i="7"/>
  <c r="Y14" i="7"/>
  <c r="B2" i="11"/>
  <c r="Y12" i="7"/>
  <c r="B3" i="11"/>
  <c r="Y27" i="7"/>
  <c r="Y11" i="7"/>
  <c r="B4" i="11"/>
  <c r="Y26" i="7"/>
  <c r="Y10" i="7"/>
  <c r="F3" i="10"/>
  <c r="Y25" i="7"/>
  <c r="Y9" i="7"/>
  <c r="F4" i="10"/>
  <c r="Y24" i="7"/>
  <c r="Y8" i="7"/>
  <c r="Y23" i="7"/>
  <c r="Y22" i="7"/>
  <c r="Y6" i="7"/>
  <c r="Y20" i="7"/>
  <c r="Y4" i="7"/>
  <c r="C2" i="10"/>
  <c r="Y35" i="7"/>
  <c r="Y3" i="7"/>
  <c r="Z20" i="7"/>
  <c r="Z4" i="7"/>
  <c r="C3" i="10"/>
  <c r="Y34" i="7"/>
  <c r="Y18" i="7"/>
  <c r="Z35" i="7"/>
  <c r="Z3" i="7"/>
  <c r="C4" i="10"/>
  <c r="Y33" i="7"/>
  <c r="Z34" i="7"/>
  <c r="Z18" i="7"/>
  <c r="Z2" i="7"/>
  <c r="Y2" i="7"/>
  <c r="AA26" i="7"/>
  <c r="AA25" i="7"/>
  <c r="AA12" i="7"/>
  <c r="AA11" i="7"/>
  <c r="AA9" i="7"/>
  <c r="AA10" i="7"/>
  <c r="AA27" i="7"/>
  <c r="AA30" i="7"/>
  <c r="AA31" i="7"/>
  <c r="AA33" i="7"/>
  <c r="K14" i="7"/>
  <c r="AA14" i="7"/>
  <c r="AA24" i="7"/>
  <c r="AA8" i="7"/>
  <c r="AA23" i="7"/>
  <c r="AA22" i="7"/>
  <c r="AA6" i="7"/>
  <c r="J32" i="7"/>
  <c r="M32" i="7" s="1"/>
  <c r="J16" i="7"/>
  <c r="M16" i="7" s="1"/>
  <c r="J31" i="7"/>
  <c r="M31" i="7" s="1"/>
  <c r="J15" i="7"/>
  <c r="M15" i="7" s="1"/>
  <c r="J30" i="7"/>
  <c r="J14" i="7"/>
  <c r="M14" i="7" s="1"/>
  <c r="J29" i="7"/>
  <c r="M29" i="7" s="1"/>
  <c r="J13" i="7"/>
  <c r="M13" i="7" s="1"/>
  <c r="J28" i="7"/>
  <c r="M28" i="7" s="1"/>
  <c r="J12" i="7"/>
  <c r="J27" i="7"/>
  <c r="J11" i="7"/>
  <c r="J26" i="7"/>
  <c r="J10" i="7"/>
  <c r="J25" i="7"/>
  <c r="J9" i="7"/>
  <c r="J24" i="7"/>
  <c r="J8" i="7"/>
  <c r="J23" i="7"/>
  <c r="M23" i="7" s="1"/>
  <c r="J7" i="7"/>
  <c r="M7" i="7" s="1"/>
  <c r="J22" i="7"/>
  <c r="J6" i="7"/>
  <c r="J21" i="7"/>
  <c r="M21" i="7" s="1"/>
  <c r="J5" i="7"/>
  <c r="M5" i="7" s="1"/>
  <c r="J20" i="7"/>
  <c r="J4" i="7"/>
  <c r="J35" i="7"/>
  <c r="M35" i="7" s="1"/>
  <c r="J19" i="7"/>
  <c r="M19" i="7" s="1"/>
  <c r="J3" i="7"/>
  <c r="J34" i="7"/>
  <c r="J18" i="7"/>
  <c r="J2" i="7"/>
  <c r="J33" i="7"/>
  <c r="J17" i="7"/>
  <c r="M17" i="7" s="1"/>
  <c r="I5" i="7"/>
  <c r="N30" i="7"/>
  <c r="O30" i="7" s="1"/>
  <c r="I21" i="7"/>
  <c r="I28" i="7"/>
  <c r="I7" i="7"/>
  <c r="I13" i="7"/>
  <c r="I16" i="7"/>
  <c r="N14" i="7"/>
  <c r="O14" i="7" s="1"/>
  <c r="N20" i="7"/>
  <c r="O20" i="7" s="1"/>
  <c r="N12" i="7"/>
  <c r="O12" i="7" s="1"/>
  <c r="N23" i="7"/>
  <c r="O23" i="7" s="1"/>
  <c r="I29" i="7"/>
  <c r="N4" i="7"/>
  <c r="O4" i="7" s="1"/>
  <c r="I32" i="7"/>
  <c r="N3" i="7"/>
  <c r="O3" i="7" s="1"/>
  <c r="N10" i="7"/>
  <c r="O10" i="7" s="1"/>
  <c r="I19" i="7"/>
  <c r="N26" i="7"/>
  <c r="O26" i="7" s="1"/>
  <c r="N33" i="7"/>
  <c r="O33" i="7" s="1"/>
  <c r="N8" i="7"/>
  <c r="O8" i="7" s="1"/>
  <c r="I17" i="7"/>
  <c r="N24" i="7"/>
  <c r="O24" i="7" s="1"/>
  <c r="N31" i="7"/>
  <c r="O31" i="7" s="1"/>
  <c r="N6" i="7"/>
  <c r="O6" i="7" s="1"/>
  <c r="I15" i="7"/>
  <c r="F2" i="10" s="1"/>
  <c r="N22" i="7"/>
  <c r="O22" i="7" s="1"/>
  <c r="N11" i="7"/>
  <c r="O11" i="7" s="1"/>
  <c r="N27" i="7"/>
  <c r="O27" i="7" s="1"/>
  <c r="N2" i="7"/>
  <c r="O2" i="7" s="1"/>
  <c r="N18" i="7"/>
  <c r="O18" i="7" s="1"/>
  <c r="N34" i="7"/>
  <c r="O34" i="7" s="1"/>
  <c r="N9" i="7"/>
  <c r="O9" i="7" s="1"/>
  <c r="N25" i="7"/>
  <c r="O25" i="7" s="1"/>
  <c r="N35" i="7"/>
  <c r="O35" i="7" s="1"/>
  <c r="H4" i="10" s="1"/>
  <c r="Z19" i="7" l="1"/>
  <c r="Y19" i="7"/>
  <c r="G2" i="8"/>
  <c r="Z5" i="7"/>
  <c r="Y5" i="7"/>
  <c r="Z29" i="7"/>
  <c r="Y29" i="7"/>
  <c r="K23" i="7"/>
  <c r="C2" i="8"/>
  <c r="Y32" i="7"/>
  <c r="Z32" i="7"/>
  <c r="Z15" i="7"/>
  <c r="Y15" i="7"/>
  <c r="Y16" i="7"/>
  <c r="Z16" i="7"/>
  <c r="F2" i="8"/>
  <c r="Z13" i="7"/>
  <c r="Y13" i="7"/>
  <c r="Z28" i="7"/>
  <c r="Y28" i="7"/>
  <c r="Z17" i="7"/>
  <c r="Y17" i="7"/>
  <c r="Z7" i="7"/>
  <c r="Y7" i="7"/>
  <c r="K31" i="7"/>
  <c r="Z21" i="7"/>
  <c r="Y21" i="7"/>
  <c r="K27" i="7"/>
  <c r="M27" i="7"/>
  <c r="K4" i="7"/>
  <c r="M4" i="7"/>
  <c r="K11" i="7"/>
  <c r="M11" i="7"/>
  <c r="K20" i="7"/>
  <c r="M20" i="7"/>
  <c r="K12" i="7"/>
  <c r="M12" i="7"/>
  <c r="K6" i="7"/>
  <c r="M6" i="7"/>
  <c r="K33" i="7"/>
  <c r="M33" i="7"/>
  <c r="K24" i="7"/>
  <c r="M24" i="7"/>
  <c r="K2" i="7"/>
  <c r="M2" i="7"/>
  <c r="K9" i="7"/>
  <c r="M9" i="7"/>
  <c r="K35" i="7"/>
  <c r="K22" i="7"/>
  <c r="M22" i="7"/>
  <c r="K8" i="7"/>
  <c r="M8" i="7"/>
  <c r="K18" i="7"/>
  <c r="M18" i="7"/>
  <c r="K25" i="7"/>
  <c r="M25" i="7"/>
  <c r="K30" i="7"/>
  <c r="M30" i="7"/>
  <c r="K34" i="7"/>
  <c r="M34" i="7"/>
  <c r="K10" i="7"/>
  <c r="M10" i="7"/>
  <c r="K3" i="7"/>
  <c r="M3" i="7"/>
  <c r="K26" i="7"/>
  <c r="M26" i="7"/>
  <c r="AA29" i="7"/>
  <c r="K29" i="7"/>
  <c r="O21" i="7"/>
  <c r="AA21" i="7"/>
  <c r="K21" i="7"/>
  <c r="O19" i="7"/>
  <c r="AA19" i="7"/>
  <c r="K19" i="7"/>
  <c r="O32" i="7"/>
  <c r="K32" i="7"/>
  <c r="AA32" i="7"/>
  <c r="O5" i="7"/>
  <c r="AA5" i="7"/>
  <c r="K5" i="7"/>
  <c r="O15" i="7"/>
  <c r="AA15" i="7"/>
  <c r="K15" i="7"/>
  <c r="K16" i="7"/>
  <c r="AA16" i="7"/>
  <c r="AA13" i="7"/>
  <c r="K13" i="7"/>
  <c r="K17" i="7"/>
  <c r="AA17" i="7"/>
  <c r="AA7" i="7"/>
  <c r="K7" i="7"/>
  <c r="O28" i="7"/>
  <c r="AA28" i="7"/>
  <c r="K28" i="7"/>
  <c r="O16" i="7"/>
  <c r="H3" i="10" s="1"/>
  <c r="O17" i="7"/>
  <c r="O13" i="7"/>
  <c r="O7" i="7"/>
  <c r="O29" i="7"/>
  <c r="G4" i="10" l="1" a="1"/>
  <c r="G4" i="10" s="1"/>
  <c r="G3" i="10" a="1"/>
  <c r="G3" i="10" s="1"/>
  <c r="G2" i="10" a="1"/>
  <c r="G2" i="10" s="1"/>
  <c r="H2" i="10"/>
  <c r="C2" i="11"/>
  <c r="I2" i="8"/>
  <c r="C4" i="11" l="1"/>
  <c r="C3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<sst xmlns="http://schemas.openxmlformats.org/spreadsheetml/2006/main" count="115" uniqueCount="74">
  <si>
    <t>Block</t>
    <phoneticPr fontId="1" type="noConversion"/>
  </si>
  <si>
    <t>#</t>
    <phoneticPr fontId="1" type="noConversion"/>
  </si>
  <si>
    <t>종류</t>
    <phoneticPr fontId="1" type="noConversion"/>
  </si>
  <si>
    <t>H</t>
    <phoneticPr fontId="1" type="noConversion"/>
  </si>
  <si>
    <t>W</t>
    <phoneticPr fontId="1" type="noConversion"/>
  </si>
  <si>
    <t>S</t>
    <phoneticPr fontId="1" type="noConversion"/>
  </si>
  <si>
    <t>IC</t>
    <phoneticPr fontId="1" type="noConversion"/>
  </si>
  <si>
    <t>OC</t>
    <phoneticPr fontId="1" type="noConversion"/>
  </si>
  <si>
    <t>tile_S</t>
    <phoneticPr fontId="1" type="noConversion"/>
  </si>
  <si>
    <t>tile_IC</t>
    <phoneticPr fontId="1" type="noConversion"/>
  </si>
  <si>
    <t>tile_OC</t>
    <phoneticPr fontId="1" type="noConversion"/>
  </si>
  <si>
    <t>Project PW</t>
  </si>
  <si>
    <t>Project PW</t>
    <phoneticPr fontId="1" type="noConversion"/>
  </si>
  <si>
    <t>Expand PW</t>
  </si>
  <si>
    <t>Expand PW</t>
    <phoneticPr fontId="1" type="noConversion"/>
  </si>
  <si>
    <t>Final</t>
    <phoneticPr fontId="1" type="noConversion"/>
  </si>
  <si>
    <t>Final PW</t>
    <phoneticPr fontId="1" type="noConversion"/>
  </si>
  <si>
    <t>Psum SRAM Depth (&lt;= 15000)</t>
    <phoneticPr fontId="1" type="noConversion"/>
  </si>
  <si>
    <t>Input SRAM Depth (&lt;=30000)</t>
    <phoneticPr fontId="1" type="noConversion"/>
  </si>
  <si>
    <t>Weight SRAM Depth (&lt;= 30000)</t>
    <phoneticPr fontId="1" type="noConversion"/>
  </si>
  <si>
    <t>Repeat</t>
    <phoneticPr fontId="1" type="noConversion"/>
  </si>
  <si>
    <t>CPU reference time(s)</t>
    <phoneticPr fontId="1" type="noConversion"/>
  </si>
  <si>
    <t>FPGA End-to-End time(s)</t>
    <phoneticPr fontId="1" type="noConversion"/>
  </si>
  <si>
    <t>Theoretical Peak MAC/s</t>
    <phoneticPr fontId="1" type="noConversion"/>
  </si>
  <si>
    <t>Arithmetic Intensity</t>
    <phoneticPr fontId="1" type="noConversion"/>
  </si>
  <si>
    <t>Speedup (End-to-End)</t>
    <phoneticPr fontId="1" type="noConversion"/>
  </si>
  <si>
    <t>Utilization (%)</t>
    <phoneticPr fontId="1" type="noConversion"/>
  </si>
  <si>
    <t>Type</t>
    <phoneticPr fontId="1" type="noConversion"/>
  </si>
  <si>
    <t>Avg AI</t>
    <phoneticPr fontId="1" type="noConversion"/>
  </si>
  <si>
    <t>Memory Traffic</t>
    <phoneticPr fontId="1" type="noConversion"/>
  </si>
  <si>
    <t>Avg Util (%)</t>
    <phoneticPr fontId="1" type="noConversion"/>
  </si>
  <si>
    <t>Avg Arithmetic Intensity</t>
    <phoneticPr fontId="1" type="noConversion"/>
  </si>
  <si>
    <t>Repeat_x_MAC</t>
    <phoneticPr fontId="1" type="noConversion"/>
  </si>
  <si>
    <t>MAC Count</t>
    <phoneticPr fontId="1" type="noConversion"/>
  </si>
  <si>
    <t>PL Active time (s)</t>
    <phoneticPr fontId="1" type="noConversion"/>
  </si>
  <si>
    <t>DMA time (s)</t>
    <phoneticPr fontId="1" type="noConversion"/>
  </si>
  <si>
    <t>Control time (s)</t>
    <phoneticPr fontId="1" type="noConversion"/>
  </si>
  <si>
    <t>RUN (%)</t>
    <phoneticPr fontId="1" type="noConversion"/>
  </si>
  <si>
    <t>DMA (%)</t>
    <phoneticPr fontId="1" type="noConversion"/>
  </si>
  <si>
    <t>Host Run time (s)</t>
    <phoneticPr fontId="1" type="noConversion"/>
  </si>
  <si>
    <t>Numpy Layout (s)</t>
    <phoneticPr fontId="1" type="noConversion"/>
  </si>
  <si>
    <t>MMIO (s)</t>
    <phoneticPr fontId="1" type="noConversion"/>
  </si>
  <si>
    <t>DMA Send wait (s)</t>
    <phoneticPr fontId="1" type="noConversion"/>
  </si>
  <si>
    <t>DMA Recv Wait (s)</t>
    <phoneticPr fontId="1" type="noConversion"/>
  </si>
  <si>
    <t>Numpy (%)</t>
    <phoneticPr fontId="1" type="noConversion"/>
  </si>
  <si>
    <t>MMIO (%)</t>
    <phoneticPr fontId="1" type="noConversion"/>
  </si>
  <si>
    <t>DMA Wait (%)</t>
    <phoneticPr fontId="1" type="noConversion"/>
  </si>
  <si>
    <t>Run time(PL) (s)</t>
    <phoneticPr fontId="1" type="noConversion"/>
  </si>
  <si>
    <t>ISRAM DMA (s)</t>
    <phoneticPr fontId="1" type="noConversion"/>
  </si>
  <si>
    <t>WSRAM DMA (s)</t>
    <phoneticPr fontId="1" type="noConversion"/>
  </si>
  <si>
    <t>PSRAM DMA (s)</t>
    <phoneticPr fontId="1" type="noConversion"/>
  </si>
  <si>
    <t>BandWidth (GB/s)</t>
    <phoneticPr fontId="1" type="noConversion"/>
  </si>
  <si>
    <t>Avg E2E Speedup</t>
    <phoneticPr fontId="1" type="noConversion"/>
  </si>
  <si>
    <t>Avg PE Utilization (%)</t>
    <phoneticPr fontId="1" type="noConversion"/>
  </si>
  <si>
    <t>Avg PL Memory Ratio (%)</t>
    <phoneticPr fontId="1" type="noConversion"/>
  </si>
  <si>
    <t>Measured BW (GB/s)</t>
    <phoneticPr fontId="1" type="noConversion"/>
  </si>
  <si>
    <t>BW Utilization (%)</t>
    <phoneticPr fontId="1" type="noConversion"/>
  </si>
  <si>
    <t>Ridge AI
(Measrued BW)</t>
    <phoneticPr fontId="1" type="noConversion"/>
  </si>
  <si>
    <t>Ridge AI
(Theoretical BW)</t>
    <phoneticPr fontId="1" type="noConversion"/>
  </si>
  <si>
    <t>Bound Type</t>
    <phoneticPr fontId="1" type="noConversion"/>
  </si>
  <si>
    <t>Avg Memory Ratio (%)</t>
    <phoneticPr fontId="1" type="noConversion"/>
  </si>
  <si>
    <t>Weighted Repeat</t>
    <phoneticPr fontId="1" type="noConversion"/>
  </si>
  <si>
    <t>Theoretical Bandwidth (Effective) (GB/s)</t>
    <phoneticPr fontId="1" type="noConversion"/>
  </si>
  <si>
    <t>Memory-bound</t>
    <phoneticPr fontId="1" type="noConversion"/>
  </si>
  <si>
    <t>Metric</t>
    <phoneticPr fontId="1" type="noConversion"/>
  </si>
  <si>
    <t>Ratio (%)</t>
    <phoneticPr fontId="1" type="noConversion"/>
  </si>
  <si>
    <t>Numpy Layout</t>
    <phoneticPr fontId="1" type="noConversion"/>
  </si>
  <si>
    <t>MMIO</t>
    <phoneticPr fontId="1" type="noConversion"/>
  </si>
  <si>
    <t>DMA</t>
    <phoneticPr fontId="1" type="noConversion"/>
  </si>
  <si>
    <t>CPU Throughput (MB/s)</t>
    <phoneticPr fontId="1" type="noConversion"/>
  </si>
  <si>
    <t>FPGA End-to-End Throughpout (MB/s)</t>
    <phoneticPr fontId="1" type="noConversion"/>
  </si>
  <si>
    <t>Effective Bandwidth</t>
    <phoneticPr fontId="1" type="noConversion"/>
  </si>
  <si>
    <t>Avg PL Active Ratio (%)</t>
    <phoneticPr fontId="1" type="noConversion"/>
  </si>
  <si>
    <t>Pure Compute Speedup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</si>
</sst>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맑은 고딕"/>
        <family val="2"/>
        <charset val="129"/>
        <scheme val="minor"/>
      </font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17A36C-3CCE-CA4F-9A49-5F9EF8AEB8D9}" name="표1_5" displayName="표1_5" ref="A1:AR35" totalsRowShown="0">
  <autoFilter ref="A1:AR35" xr:uid="{3617A36C-3CCE-CA4F-9A49-5F9EF8AEB8D9}"/>
  <tableColumns count="44">
    <tableColumn id="1" xr3:uid="{42E70E10-7683-1347-A99F-1D93B8B4EB2E}" name="Block" dataDxfId="1"/>
    <tableColumn id="2" xr3:uid="{A6DF5123-E978-D44D-B9D9-5192339A72FD}" name="#"/>
    <tableColumn id="3" xr3:uid="{88AA6014-B1E0-8647-B927-1517178B1AB2}" name="종류" dataDxfId="0"/>
    <tableColumn id="4" xr3:uid="{2086BFF4-3220-FE4B-9AE9-3AC22C0D7A25}" name="H"/>
    <tableColumn id="5" xr3:uid="{D2E15639-1C37-7F40-8E2D-75820C5FE274}" name="W"/>
    <tableColumn id="6" xr3:uid="{AFDDF1C8-7A21-9146-9ABB-76413129411A}" name="S">
      <calculatedColumnFormula>D2*E2</calculatedColumnFormula>
    </tableColumn>
    <tableColumn id="7" xr3:uid="{AEC16239-D180-9243-8C78-7D2ABEA35BD0}" name="IC"/>
    <tableColumn id="8" xr3:uid="{ED47B6E0-8D83-0C44-A5F8-045A8144507A}" name="OC"/>
    <tableColumn id="9" xr3:uid="{0CD928B6-CDAD-4B4C-B2F5-E6E6FE028929}" name="MAC Count">
      <calculatedColumnFormula>F2*G2*H2</calculatedColumnFormula>
    </tableColumn>
    <tableColumn id="33" xr3:uid="{C4B7C9ED-999F-C245-B855-C79A1D2D6D10}" name="Memory Traffic">
      <calculatedColumnFormula>(4*(표1_5[[#This Row],[S]]*표1_5[[#This Row],[IC]])+4*(표1_5[[#This Row],[IC]]*표1_5[[#This Row],[OC]])+4*(표1_5[[#This Row],[S]]*표1_5[[#This Row],[OC]]))</calculatedColumnFormula>
    </tableColumn>
    <tableColumn id="41" xr3:uid="{A5A5ED0B-FAF1-C642-BD65-977914B9A9CF}" name="Arithmetic Intensity">
      <calculatedColumnFormula>표1_5[[#This Row],[MAC Count]]/표1_5[[#This Row],[Memory Traffic]]</calculatedColumnFormula>
    </tableColumn>
    <tableColumn id="43" xr3:uid="{A592DC9D-5758-2A44-A63E-7C3371A5BBE2}" name="Speedup (End-to-End)">
      <calculatedColumnFormula>표1_5[[#This Row],[CPU reference time(s)]]/표1_5[[#This Row],[FPGA End-to-End time(s)]]</calculatedColumnFormula>
    </tableColumn>
    <tableColumn id="60" xr3:uid="{358ED5AA-E56E-6C40-BFD5-84E8BC411E78}" name="BandWidth (GB/s)">
      <calculatedColumnFormula>표1_5[[#This Row],[Memory Traffic]]/(표1_5[[#This Row],[ISRAM DMA (s)]]+표1_5[[#This Row],[WSRAM DMA (s)]]+표1_5[[#This Row],[PSRAM DMA (s)]])/1000000000</calculatedColumnFormula>
    </tableColumn>
    <tableColumn id="10" xr3:uid="{2CAB1A43-5D5B-0D4B-A4D6-742886ED861E}" name="Repeat">
      <calculatedColumnFormula>ROUNDUP(F2/P2,0)*ROUNDUP(G2/Q2,0)*ROUNDUP(H2/R2,0)</calculatedColumnFormula>
    </tableColumn>
    <tableColumn id="39" xr3:uid="{C52393B4-7DAF-1F4D-9559-135E87BD8A1E}" name="Repeat_x_MAC">
      <calculatedColumnFormula>표1_5[[#This Row],[MAC Count]]*표1_5[[#This Row],[Repeat]]</calculatedColumnFormula>
    </tableColumn>
    <tableColumn id="11" xr3:uid="{78DBFAD8-B34A-D141-A998-C8BDF605170F}" name="tile_S"/>
    <tableColumn id="12" xr3:uid="{06B0FE52-7339-6B4C-9182-69BB2455B770}" name="tile_IC"/>
    <tableColumn id="13" xr3:uid="{2853423E-12B9-324D-BEDC-59DCAEFD46AE}" name="tile_OC"/>
    <tableColumn id="14" xr3:uid="{F3C71F31-B685-9441-91F2-A47586B0AFE6}" name="Theoretical Peak MAC/s">
      <calculatedColumnFormula>8*4*100000000</calculatedColumnFormula>
    </tableColumn>
    <tableColumn id="16" xr3:uid="{3EC3EBDA-AF41-A548-8F70-FFC2F5CD5518}" name="Input SRAM Depth (&lt;=30000)">
      <calculatedColumnFormula>표1_5[[#This Row],[tile_S]]*CEILING((표1_5[[#This Row],[tile_IC]]/8),1)</calculatedColumnFormula>
    </tableColumn>
    <tableColumn id="17" xr3:uid="{FD34CC6A-0573-934D-A28F-3BB476DC8714}" name="Psum SRAM Depth (&lt;= 15000)">
      <calculatedColumnFormula>표1_5[[#This Row],[tile_S]]*CEILING(표1_5[[#This Row],[tile_OC]]/4,1)</calculatedColumnFormula>
    </tableColumn>
    <tableColumn id="25" xr3:uid="{3CFBB0D6-749C-6146-AED4-B2702BCEFAE9}" name="Weight SRAM Depth (&lt;= 30000)">
      <calculatedColumnFormula>표1_5[[#This Row],[tile_IC]]*CEILING((표1_5[[#This Row],[tile_OC]]/4),1)</calculatedColumnFormula>
    </tableColumn>
    <tableColumn id="20" xr3:uid="{F8FF2144-0EFE-E640-AC82-6C6CC7B121AF}" name="CPU reference time(s)"/>
    <tableColumn id="29" xr3:uid="{2A3725A4-B195-2D49-830A-02F4A9F78BCF}" name="FPGA End-to-End time(s)"/>
    <tableColumn id="26" xr3:uid="{B0FF93C9-7F71-D447-B74D-171A44BCBC62}" name="CPU Throughput (MB/s)">
      <calculatedColumnFormula>표1_5[[#This Row],[MAC Count]]/표1_5[[#This Row],[CPU reference time(s)]]/1000000</calculatedColumnFormula>
    </tableColumn>
    <tableColumn id="27" xr3:uid="{41E6C5CD-8AFA-C249-B65C-88CC6EB9DEDD}" name="FPGA End-to-End Throughpout (MB/s)">
      <calculatedColumnFormula>표1_5[[#This Row],[MAC Count]]/표1_5[[#This Row],[FPGA End-to-End time(s)]]/1000000</calculatedColumnFormula>
    </tableColumn>
    <tableColumn id="22" xr3:uid="{E055527D-5BAD-0C43-84E2-C81B98341E7D}" name="Utilization (%)">
      <calculatedColumnFormula>(표1_5[[#This Row],[MAC Count]]/표1_5[[#This Row],[Run time(PL) (s)]])/표1_5[[#This Row],[Theoretical Peak MAC/s]]*100</calculatedColumnFormula>
    </tableColumn>
    <tableColumn id="42" xr3:uid="{8520B0C2-D952-9F45-A8BD-63A87E474708}" name="PL Active time (s)"/>
    <tableColumn id="44" xr3:uid="{E75D1A04-08C9-B24A-B571-CD1A48597CCF}" name="Run time(PL) (s)"/>
    <tableColumn id="45" xr3:uid="{564CDEAD-22B0-8F47-A59D-93AD5D933FDE}" name="DMA time (s)"/>
    <tableColumn id="46" xr3:uid="{F02FDA8E-CA5C-E743-BEAA-C3C87A34EDBD}" name="Control time (s)"/>
    <tableColumn id="47" xr3:uid="{2EA59886-B44B-0347-940C-D8E9A890793F}" name="RUN (%)">
      <calculatedColumnFormula>표1_5[[#This Row],[Run time(PL) (s)]]/표1_5[[#This Row],[PL Active time (s)]]</calculatedColumnFormula>
    </tableColumn>
    <tableColumn id="48" xr3:uid="{F676BB4D-4EF8-1942-AC42-BFF0ED70780B}" name="DMA (%)">
      <calculatedColumnFormula>표1_5[[#This Row],[DMA time (s)]]/표1_5[[#This Row],[PL Active time (s)]]</calculatedColumnFormula>
    </tableColumn>
    <tableColumn id="49" xr3:uid="{2C29E0C6-98AE-6B42-A14C-10E8E2CC7530}" name="ISRAM DMA (s)"/>
    <tableColumn id="50" xr3:uid="{15A71415-6372-7649-9492-DD945152B06E}" name="WSRAM DMA (s)"/>
    <tableColumn id="51" xr3:uid="{02094EBF-ADB0-DA4E-AA34-E1368AC0A5B6}" name="PSRAM DMA (s)"/>
    <tableColumn id="52" xr3:uid="{77850D07-8C05-E549-9CFC-F1BF88D21DEF}" name="Host Run time (s)"/>
    <tableColumn id="54" xr3:uid="{E3D5D093-C81E-CD42-92D5-21543F0F1CEE}" name="MMIO (s)"/>
    <tableColumn id="53" xr3:uid="{AD61A73F-45CB-1842-BC3B-AB379C7B9D44}" name="Numpy Layout (s)"/>
    <tableColumn id="55" xr3:uid="{4248308D-18D5-BE48-AFB5-336C2C727738}" name="DMA Send wait (s)"/>
    <tableColumn id="56" xr3:uid="{50A5A1FE-AC6F-EB44-BAA8-4E9416CDB2CF}" name="DMA Recv Wait (s)"/>
    <tableColumn id="57" xr3:uid="{5BB81506-67CB-F34F-81B6-41BDF770C5E5}" name="Numpy (%)">
      <calculatedColumnFormula>표1_5[[#This Row],[Numpy Layout (s)]]/표1_5[[#This Row],[Host Run time (s)]]</calculatedColumnFormula>
    </tableColumn>
    <tableColumn id="58" xr3:uid="{04DF89A4-22FB-B24F-8366-2089F9238BAA}" name="MMIO (%)">
      <calculatedColumnFormula>표1_5[[#This Row],[MMIO (s)]]/표1_5[[#This Row],[Host Run time (s)]]</calculatedColumnFormula>
    </tableColumn>
    <tableColumn id="59" xr3:uid="{9AA59267-8902-4548-8B12-3566151E4618}" name="DMA Wait (%)">
      <calculatedColumnFormula>(표1_5[[#This Row],[DMA Send wait (s)]]+표1_5[[#This Row],[DMA Recv Wait (s)]])/표1_5[[#This Row],[Host Run time (s)]]</calculatedColumnFormula>
    </tableColumn>
  </tableColumns>
  <tableStyleInfo name="TableStyleDark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9191CA-3A90-124F-B7C8-E1A2F3EDD0CB}" name="표6" displayName="표6" ref="A1:I2" totalsRowShown="0">
  <autoFilter ref="A1:I2" xr:uid="{D89191CA-3A90-124F-B7C8-E1A2F3EDD0CB}"/>
  <tableColumns count="9">
    <tableColumn id="1" xr3:uid="{F00E45D3-D6E5-DF49-B01F-48E92DF2422A}" name="Avg E2E Speedup">
      <calculatedColumnFormula>SUM(표1_5[CPU reference time(s)])/SUM(표1_5[FPGA End-to-End time(s)])</calculatedColumnFormula>
    </tableColumn>
    <tableColumn id="2" xr3:uid="{6D4FFDAD-B321-6C48-A82C-71913D2F90A3}" name="Pure Compute Speedup">
      <calculatedColumnFormula>SUM(표1_5[CPU reference time(s)])/SUM(표1_5[Run time(PL) (s)])</calculatedColumnFormula>
    </tableColumn>
    <tableColumn id="3" xr3:uid="{B34381BC-7969-2E46-BC52-7198888A65F9}" name="Avg PE Utilization (%)">
      <calculatedColumnFormula>SUM(표1_5[MAC Count])/(표1_5[[#This Row],[Theoretical Peak MAC/s]]*SUM(표1_5[Run time(PL) (s)]))*100</calculatedColumnFormula>
    </tableColumn>
    <tableColumn id="10" xr3:uid="{4DC76020-D31A-EB41-84CD-B6DE5189A7A7}" name="Avg PL Memory Ratio (%)">
      <calculatedColumnFormula>SUM(표1_5[DMA time (s)])/SUM(표1_5[PL Active time (s)])</calculatedColumnFormula>
    </tableColumn>
    <tableColumn id="12" xr3:uid="{997035CD-C11A-3B4D-9CDA-335BABB204E0}" name="Avg PL Active Ratio (%)">
      <calculatedColumnFormula>SUM(표1_5[PL Active time (s)])/SUM(표1_5[FPGA End-to-End time(s)])*100</calculatedColumnFormula>
    </tableColumn>
    <tableColumn id="5" xr3:uid="{19A398F8-526A-4940-BC30-7D0D847A66E6}" name="Avg Arithmetic Intensity">
      <calculatedColumnFormula>SUM(표1_5[MAC Count])/SUM(표1_5[Memory Traffic])</calculatedColumnFormula>
    </tableColumn>
    <tableColumn id="7" xr3:uid="{526471D8-57BC-E043-AB3C-3C0FC1A3D9D5}" name="Measured BW (GB/s)">
      <calculatedColumnFormula>SUM(표1_5[Memory Traffic])/SUM(표1_5[DMA time (s)])/1000000000</calculatedColumnFormula>
    </tableColumn>
    <tableColumn id="8" xr3:uid="{B47BEC58-61A6-8544-BCF2-B1B6A991BE3D}" name="Theoretical Bandwidth (Effective) (GB/s)">
      <calculatedColumnFormula>0.4</calculatedColumnFormula>
    </tableColumn>
    <tableColumn id="13" xr3:uid="{B7343438-E3AD-8E49-A1AC-DE24BF2FFAB0}" name="BW Utilization (%)">
      <calculatedColumnFormula>표6[[#This Row],[Measured BW (GB/s)]]/표6[[#This Row],[Theoretical Bandwidth (Effective) (GB/s)]]</calculatedColumnFormula>
    </tableColumn>
  </tableColumns>
  <tableStyleInfo name="TableStyleDark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C27347-A7F9-0645-B908-33F349FFAFEF}" name="표7_2" displayName="표7_2" ref="A1:E4" totalsRowShown="0">
  <autoFilter ref="A1:E4" xr:uid="{89C27347-A7F9-0645-B908-33F349FFAFEF}"/>
  <tableColumns count="5">
    <tableColumn id="1" xr3:uid="{341395D2-6CBB-B24E-989C-F2C687C5C8C5}" name="Type"/>
    <tableColumn id="2" xr3:uid="{5A5DD752-4F17-5949-99F0-470B9A2F815B}" name="Avg AI"/>
    <tableColumn id="3" xr3:uid="{E7A07743-B3C5-ED4E-B482-7ADED4A7FC69}" name="Ridge AI_x000a_(Measrued BW)"/>
    <tableColumn id="4" xr3:uid="{9B8FE496-FDF9-0A4F-9DE8-52FA9B185C49}" name="Ridge AI_x000a_(Theoretical BW)"/>
    <tableColumn id="7" xr3:uid="{12A726A1-64B2-A746-B264-F706DE54FABF}" name="Bound Type"/>
  </tableColumns>
  <tableStyleInfo name="TableStyleDark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C1D9673-25C9-9945-A206-87E72C1CBA13}" name="표7" displayName="표7" ref="A1:H4" totalsRowShown="0">
  <autoFilter ref="A1:H4" xr:uid="{DC1D9673-25C9-9945-A206-87E72C1CBA13}"/>
  <tableColumns count="8">
    <tableColumn id="1" xr3:uid="{3E6B8D64-B61F-584E-AB60-7AC5B0D07790}" name="Type"/>
    <tableColumn id="2" xr3:uid="{40F48CB6-3C4E-1043-B947-68121D0A5027}" name="Avg E2E Speedup"/>
    <tableColumn id="3" xr3:uid="{1F9B8528-0DCC-C742-A6C0-35226B0E4579}" name="Avg Util (%)">
      <calculatedColumnFormula>SUMIF(표1_5[종류], "Expand PW", 표1_5[MAC Count])/( SUMIF(표1_5[종류], "Expand PW",표1_5[Run time(PL) (s)])*표1_5[[#This Row],[Theoretical Peak MAC/s]]) *100</calculatedColumnFormula>
    </tableColumn>
    <tableColumn id="4" xr3:uid="{2FBF7ACC-4FF8-1A41-B08D-787AAC31021D}" name="Avg Memory Ratio (%)">
      <calculatedColumnFormula xml:space="preserve"> SUMIF(표1_5[종류], "Expand PW",#REF!)/SUMIF(표1_5[종류], "Expand PW", 표1_5[FPGA End-to-End time(s)]) *100</calculatedColumnFormula>
    </tableColumn>
    <tableColumn id="7" xr3:uid="{0294A360-8C71-DE42-AAD1-321B141458D3}" name="Avg PL Active Ratio (%)"/>
    <tableColumn id="5" xr3:uid="{345CBDB7-B391-1447-A80B-2482306089C8}" name="Avg Arithmetic Intensity"/>
    <tableColumn id="6" xr3:uid="{480EA313-BC48-E644-BD70-835066B3F348}" name="Effective Bandwidth"/>
    <tableColumn id="10" xr3:uid="{88CE0A87-F044-7644-AD30-9F14CEA84811}" name="Weighted Repeat"/>
  </tableColumns>
  <tableStyleInfo name="TableStyleDark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BB1F0E-61D5-E148-89A5-24DB2ED57B83}" name="표3" displayName="표3" ref="A1:B4" totalsRowShown="0">
  <autoFilter ref="A1:B4" xr:uid="{E8BB1F0E-61D5-E148-89A5-24DB2ED57B83}"/>
  <tableColumns count="2">
    <tableColumn id="1" xr3:uid="{1068CEE2-5563-C04D-AB5B-FCEE4B71E56C}" name="Metric"/>
    <tableColumn id="2" xr3:uid="{46092B83-8CE8-E74D-9F9C-0C7CDF21F38F}" name="Ratio (%)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CB54F-C858-3440-A489-FD6ADF53D89C}">
  <dimension ref="A1:AR35"/>
  <sheetViews>
    <sheetView tabSelected="1" topLeftCell="M1" workbookViewId="0">
      <selection activeCell="AL39" sqref="AL39"/>
    </sheetView>
  </sheetViews>
  <sheetFormatPr baseColWidth="10" defaultRowHeight="18"/>
  <cols>
    <col min="10" max="10" width="19.140625" customWidth="1"/>
    <col min="11" max="11" width="19.28515625" bestFit="1" customWidth="1"/>
    <col min="12" max="12" width="20.28515625" customWidth="1"/>
    <col min="13" max="13" width="19.28515625" customWidth="1"/>
    <col min="14" max="14" width="9" bestFit="1" customWidth="1"/>
    <col min="15" max="15" width="15.140625" hidden="1" customWidth="1"/>
    <col min="16" max="16" width="7.85546875" hidden="1" customWidth="1"/>
    <col min="17" max="17" width="8.42578125" hidden="1" customWidth="1"/>
    <col min="18" max="18" width="9.28515625" hidden="1" customWidth="1"/>
    <col min="19" max="19" width="22.85546875" hidden="1" customWidth="1"/>
    <col min="20" max="20" width="28.7109375" hidden="1" customWidth="1"/>
    <col min="21" max="21" width="29.7109375" hidden="1" customWidth="1"/>
    <col min="22" max="22" width="30.85546875" hidden="1" customWidth="1"/>
    <col min="23" max="23" width="20.42578125" customWidth="1"/>
    <col min="24" max="24" width="27" customWidth="1"/>
    <col min="25" max="25" width="22.42578125" customWidth="1"/>
    <col min="26" max="26" width="23.28515625" customWidth="1"/>
    <col min="27" max="27" width="31" customWidth="1"/>
    <col min="28" max="28" width="14.140625" customWidth="1"/>
    <col min="29" max="30" width="17.140625" customWidth="1"/>
    <col min="31" max="31" width="14.140625" customWidth="1"/>
    <col min="32" max="32" width="17" customWidth="1"/>
    <col min="33" max="39" width="15.28515625" customWidth="1"/>
    <col min="41" max="41" width="15.28515625" customWidth="1"/>
    <col min="42" max="42" width="19.5703125" customWidth="1"/>
    <col min="43" max="44" width="17.42578125" customWidth="1"/>
    <col min="45" max="46" width="20.7109375" customWidth="1"/>
    <col min="47" max="47" width="19.42578125" customWidth="1"/>
    <col min="48" max="48" width="18.140625" customWidth="1"/>
    <col min="49" max="49" width="20.28515625" customWidth="1"/>
    <col min="51" max="51" width="17.42578125" customWidth="1"/>
  </cols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33</v>
      </c>
      <c r="J1" t="s">
        <v>29</v>
      </c>
      <c r="K1" t="s">
        <v>24</v>
      </c>
      <c r="L1" t="s">
        <v>25</v>
      </c>
      <c r="M1" t="s">
        <v>51</v>
      </c>
      <c r="N1" t="s">
        <v>20</v>
      </c>
      <c r="O1" t="s">
        <v>32</v>
      </c>
      <c r="P1" t="s">
        <v>8</v>
      </c>
      <c r="Q1" t="s">
        <v>9</v>
      </c>
      <c r="R1" t="s">
        <v>10</v>
      </c>
      <c r="S1" t="s">
        <v>23</v>
      </c>
      <c r="T1" t="s">
        <v>18</v>
      </c>
      <c r="U1" t="s">
        <v>17</v>
      </c>
      <c r="V1" t="s">
        <v>19</v>
      </c>
      <c r="W1" t="s">
        <v>21</v>
      </c>
      <c r="X1" t="s">
        <v>22</v>
      </c>
      <c r="Y1" t="s">
        <v>69</v>
      </c>
      <c r="Z1" t="s">
        <v>70</v>
      </c>
      <c r="AA1" t="s">
        <v>26</v>
      </c>
      <c r="AB1" t="s">
        <v>34</v>
      </c>
      <c r="AC1" t="s">
        <v>47</v>
      </c>
      <c r="AD1" t="s">
        <v>35</v>
      </c>
      <c r="AE1" t="s">
        <v>36</v>
      </c>
      <c r="AF1" t="s">
        <v>37</v>
      </c>
      <c r="AG1" t="s">
        <v>38</v>
      </c>
      <c r="AH1" t="s">
        <v>48</v>
      </c>
      <c r="AI1" t="s">
        <v>49</v>
      </c>
      <c r="AJ1" t="s">
        <v>50</v>
      </c>
      <c r="AK1" t="s">
        <v>39</v>
      </c>
      <c r="AL1" t="s">
        <v>41</v>
      </c>
      <c r="AM1" t="s">
        <v>40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</row>
    <row r="2" spans="1:44">
      <c r="A2" s="1">
        <v>1</v>
      </c>
      <c r="B2">
        <v>1</v>
      </c>
      <c r="C2" t="s">
        <v>12</v>
      </c>
      <c r="D2">
        <v>112</v>
      </c>
      <c r="E2">
        <v>112</v>
      </c>
      <c r="F2">
        <f>D2*E2</f>
        <v>12544</v>
      </c>
      <c r="G2">
        <v>32</v>
      </c>
      <c r="H2">
        <v>16</v>
      </c>
      <c r="I2">
        <f t="shared" ref="I2:I35" si="0">F2*G2*H2</f>
        <v>6422528</v>
      </c>
      <c r="J2">
        <f>(4*(표1_5[[#This Row],[S]]*표1_5[[#This Row],[IC]])+4*(표1_5[[#This Row],[IC]]*표1_5[[#This Row],[OC]])+4*(표1_5[[#This Row],[S]]*표1_5[[#This Row],[OC]]))</f>
        <v>2410496</v>
      </c>
      <c r="K2">
        <f>표1_5[[#This Row],[MAC Count]]/표1_5[[#This Row],[Memory Traffic]]</f>
        <v>2.6644010195412067</v>
      </c>
      <c r="L2">
        <f>표1_5[[#This Row],[CPU reference time(s)]]/표1_5[[#This Row],[FPGA End-to-End time(s)]]</f>
        <v>1.1274367049315408</v>
      </c>
      <c r="M2">
        <f>표1_5[[#This Row],[Memory Traffic]]/(표1_5[[#This Row],[ISRAM DMA (s)]]+표1_5[[#This Row],[WSRAM DMA (s)]]+표1_5[[#This Row],[PSRAM DMA (s)]])/1000000000</f>
        <v>0.19984214889736363</v>
      </c>
      <c r="N2">
        <f t="shared" ref="N2:N35" si="1">ROUNDUP(F2/P2,0)*ROUNDUP(G2/Q2,0)*ROUNDUP(H2/R2,0)</f>
        <v>4</v>
      </c>
      <c r="O2">
        <f>표1_5[[#This Row],[MAC Count]]*표1_5[[#This Row],[Repeat]]</f>
        <v>25690112</v>
      </c>
      <c r="P2">
        <v>3750</v>
      </c>
      <c r="Q2">
        <v>32</v>
      </c>
      <c r="R2">
        <v>16</v>
      </c>
      <c r="S2">
        <f>8*4*100000000</f>
        <v>3200000000</v>
      </c>
      <c r="T2">
        <f>표1_5[[#This Row],[tile_S]]*CEILING((표1_5[[#This Row],[tile_IC]]/8),1)</f>
        <v>15000</v>
      </c>
      <c r="U2">
        <f>표1_5[[#This Row],[tile_S]]*CEILING(표1_5[[#This Row],[tile_OC]]/4,1)</f>
        <v>15000</v>
      </c>
      <c r="V2">
        <f>표1_5[[#This Row],[tile_IC]]*CEILING((표1_5[[#This Row],[tile_OC]]/4),1)</f>
        <v>128</v>
      </c>
      <c r="W2">
        <v>9.9883E-2</v>
      </c>
      <c r="X2">
        <v>8.8593000000000005E-2</v>
      </c>
      <c r="Y2">
        <f>표1_5[[#This Row],[MAC Count]]/표1_5[[#This Row],[CPU reference time(s)]]/1000000</f>
        <v>64.300511598570324</v>
      </c>
      <c r="Z2">
        <f>표1_5[[#This Row],[MAC Count]]/표1_5[[#This Row],[FPGA End-to-End time(s)]]/1000000</f>
        <v>72.494756922104443</v>
      </c>
      <c r="AA2">
        <f>(표1_5[[#This Row],[MAC Count]]/표1_5[[#This Row],[Run time(PL) (s)]])/표1_5[[#This Row],[Theoretical Peak MAC/s]]*100</f>
        <v>99.555555555555557</v>
      </c>
      <c r="AB2">
        <v>1.409E-2</v>
      </c>
      <c r="AC2">
        <v>2.016E-3</v>
      </c>
      <c r="AD2">
        <v>1.2063000000000001E-2</v>
      </c>
      <c r="AE2">
        <v>1.1E-5</v>
      </c>
      <c r="AF2">
        <f>표1_5[[#This Row],[Run time(PL) (s)]]/표1_5[[#This Row],[PL Active time (s)]]</f>
        <v>0.14308019872249822</v>
      </c>
      <c r="AG2">
        <f>표1_5[[#This Row],[DMA time (s)]]/표1_5[[#This Row],[PL Active time (s)]]</f>
        <v>0.85613910574875807</v>
      </c>
      <c r="AH2">
        <v>4.0140000000000002E-3</v>
      </c>
      <c r="AI2">
        <v>2.0000000000000002E-5</v>
      </c>
      <c r="AJ2">
        <v>8.0280000000000004E-3</v>
      </c>
      <c r="AK2">
        <v>8.1317E-2</v>
      </c>
      <c r="AL2">
        <v>4.9919999999999999E-3</v>
      </c>
      <c r="AM2">
        <v>6.0576999999999999E-2</v>
      </c>
      <c r="AN2">
        <v>5.6100000000000004E-3</v>
      </c>
      <c r="AO2">
        <v>1.0139E-2</v>
      </c>
      <c r="AP2">
        <f>표1_5[[#This Row],[Numpy Layout (s)]]/표1_5[[#This Row],[Host Run time (s)]]</f>
        <v>0.74494878069776305</v>
      </c>
      <c r="AQ2">
        <f>표1_5[[#This Row],[MMIO (s)]]/표1_5[[#This Row],[Host Run time (s)]]</f>
        <v>6.1389377374964645E-2</v>
      </c>
      <c r="AR2">
        <f>(표1_5[[#This Row],[DMA Send wait (s)]]+표1_5[[#This Row],[DMA Recv Wait (s)]])/표1_5[[#This Row],[Host Run time (s)]]</f>
        <v>0.19367413947882975</v>
      </c>
    </row>
    <row r="3" spans="1:44">
      <c r="A3" s="1">
        <v>2</v>
      </c>
      <c r="B3">
        <v>2</v>
      </c>
      <c r="C3" t="s">
        <v>14</v>
      </c>
      <c r="D3">
        <v>112</v>
      </c>
      <c r="E3">
        <v>112</v>
      </c>
      <c r="F3">
        <f t="shared" ref="F3:F35" si="2">D3*E3</f>
        <v>12544</v>
      </c>
      <c r="G3">
        <v>16</v>
      </c>
      <c r="H3">
        <v>96</v>
      </c>
      <c r="I3">
        <f t="shared" si="0"/>
        <v>19267584</v>
      </c>
      <c r="J3">
        <f>(4*(표1_5[[#This Row],[S]]*표1_5[[#This Row],[IC]])+4*(표1_5[[#This Row],[IC]]*표1_5[[#This Row],[OC]])+4*(표1_5[[#This Row],[S]]*표1_5[[#This Row],[OC]]))</f>
        <v>5625856</v>
      </c>
      <c r="K3">
        <f>표1_5[[#This Row],[MAC Count]]/표1_5[[#This Row],[Memory Traffic]]</f>
        <v>3.4248270840917363</v>
      </c>
      <c r="L3">
        <f>표1_5[[#This Row],[CPU reference time(s)]]/표1_5[[#This Row],[FPGA End-to-End time(s)]]</f>
        <v>0.93534901175106</v>
      </c>
      <c r="M3">
        <f>표1_5[[#This Row],[Memory Traffic]]/(표1_5[[#This Row],[ISRAM DMA (s)]]+표1_5[[#This Row],[WSRAM DMA (s)]]+표1_5[[#This Row],[PSRAM DMA (s)]])/1000000000</f>
        <v>0.1114052951543595</v>
      </c>
      <c r="N3">
        <f t="shared" si="1"/>
        <v>21</v>
      </c>
      <c r="O3">
        <f>표1_5[[#This Row],[MAC Count]]*표1_5[[#This Row],[Repeat]]</f>
        <v>404619264</v>
      </c>
      <c r="P3">
        <v>625</v>
      </c>
      <c r="Q3">
        <v>16</v>
      </c>
      <c r="R3">
        <v>96</v>
      </c>
      <c r="S3">
        <f t="shared" ref="S3:S35" si="3">8*4*100000000</f>
        <v>3200000000</v>
      </c>
      <c r="T3">
        <f>표1_5[[#This Row],[tile_S]]*CEILING((표1_5[[#This Row],[tile_IC]]/8),1)</f>
        <v>1250</v>
      </c>
      <c r="U3">
        <f>표1_5[[#This Row],[tile_S]]*CEILING(표1_5[[#This Row],[tile_OC]]/4,1)</f>
        <v>15000</v>
      </c>
      <c r="V3">
        <f>표1_5[[#This Row],[tile_IC]]*CEILING((표1_5[[#This Row],[tile_OC]]/4),1)</f>
        <v>384</v>
      </c>
      <c r="W3">
        <v>0.301593</v>
      </c>
      <c r="X3">
        <v>0.32243899999999998</v>
      </c>
      <c r="Y3">
        <f>표1_5[[#This Row],[MAC Count]]/표1_5[[#This Row],[CPU reference time(s)]]/1000000</f>
        <v>63.886045100516263</v>
      </c>
      <c r="Z3">
        <f>표1_5[[#This Row],[MAC Count]]/표1_5[[#This Row],[FPGA End-to-End time(s)]]/1000000</f>
        <v>59.755749149451532</v>
      </c>
      <c r="AA3">
        <f>(표1_5[[#This Row],[MAC Count]]/표1_5[[#This Row],[Run time(PL) (s)]])/표1_5[[#This Row],[Theoretical Peak MAC/s]]*100</f>
        <v>97.713729308666018</v>
      </c>
      <c r="AB3">
        <v>5.6834000000000003E-2</v>
      </c>
      <c r="AC3">
        <v>6.1619999999999999E-3</v>
      </c>
      <c r="AD3">
        <v>5.0499000000000002E-2</v>
      </c>
      <c r="AE3">
        <v>1.73E-4</v>
      </c>
      <c r="AF3">
        <f>표1_5[[#This Row],[Run time(PL) (s)]]/표1_5[[#This Row],[PL Active time (s)]]</f>
        <v>0.10842101558925994</v>
      </c>
      <c r="AG3">
        <f>표1_5[[#This Row],[DMA time (s)]]/표1_5[[#This Row],[PL Active time (s)]]</f>
        <v>0.88853503184713378</v>
      </c>
      <c r="AH3">
        <v>2.0070000000000001E-3</v>
      </c>
      <c r="AI3">
        <v>3.2299999999999999E-4</v>
      </c>
      <c r="AJ3">
        <v>4.8168999999999997E-2</v>
      </c>
      <c r="AK3">
        <v>0.31353900000000001</v>
      </c>
      <c r="AL3">
        <v>2.6053E-2</v>
      </c>
      <c r="AM3">
        <v>0.222081</v>
      </c>
      <c r="AN3">
        <v>1.0532E-2</v>
      </c>
      <c r="AO3">
        <v>5.4871999999999997E-2</v>
      </c>
      <c r="AP3">
        <f>표1_5[[#This Row],[Numpy Layout (s)]]/표1_5[[#This Row],[Host Run time (s)]]</f>
        <v>0.70830423009577759</v>
      </c>
      <c r="AQ3">
        <f>표1_5[[#This Row],[MMIO (s)]]/표1_5[[#This Row],[Host Run time (s)]]</f>
        <v>8.309333129211996E-2</v>
      </c>
      <c r="AR3">
        <f>(표1_5[[#This Row],[DMA Send wait (s)]]+표1_5[[#This Row],[DMA Recv Wait (s)]])/표1_5[[#This Row],[Host Run time (s)]]</f>
        <v>0.20859924921620593</v>
      </c>
    </row>
    <row r="4" spans="1:44">
      <c r="A4" s="1"/>
      <c r="B4">
        <v>3</v>
      </c>
      <c r="C4" t="s">
        <v>12</v>
      </c>
      <c r="D4">
        <v>56</v>
      </c>
      <c r="E4">
        <v>56</v>
      </c>
      <c r="F4">
        <f t="shared" si="2"/>
        <v>3136</v>
      </c>
      <c r="G4">
        <v>96</v>
      </c>
      <c r="H4">
        <v>24</v>
      </c>
      <c r="I4">
        <f t="shared" si="0"/>
        <v>7225344</v>
      </c>
      <c r="J4">
        <f>(4*(표1_5[[#This Row],[S]]*표1_5[[#This Row],[IC]])+4*(표1_5[[#This Row],[IC]]*표1_5[[#This Row],[OC]])+4*(표1_5[[#This Row],[S]]*표1_5[[#This Row],[OC]]))</f>
        <v>1514496</v>
      </c>
      <c r="K4">
        <f>표1_5[[#This Row],[MAC Count]]/표1_5[[#This Row],[Memory Traffic]]</f>
        <v>4.7707910750507097</v>
      </c>
      <c r="L4">
        <f>표1_5[[#This Row],[CPU reference time(s)]]/표1_5[[#This Row],[FPGA End-to-End time(s)]]</f>
        <v>1.9340533581288892</v>
      </c>
      <c r="M4">
        <f>표1_5[[#This Row],[Memory Traffic]]/(표1_5[[#This Row],[ISRAM DMA (s)]]+표1_5[[#This Row],[WSRAM DMA (s)]]+표1_5[[#This Row],[PSRAM DMA (s)]])/1000000000</f>
        <v>0.24958734344100197</v>
      </c>
      <c r="N4">
        <f t="shared" si="1"/>
        <v>2</v>
      </c>
      <c r="O4">
        <f>표1_5[[#This Row],[MAC Count]]*표1_5[[#This Row],[Repeat]]</f>
        <v>14450688</v>
      </c>
      <c r="P4">
        <v>2500</v>
      </c>
      <c r="Q4">
        <v>96</v>
      </c>
      <c r="R4">
        <v>24</v>
      </c>
      <c r="S4">
        <f t="shared" si="3"/>
        <v>3200000000</v>
      </c>
      <c r="T4">
        <f>표1_5[[#This Row],[tile_S]]*CEILING((표1_5[[#This Row],[tile_IC]]/8),1)</f>
        <v>30000</v>
      </c>
      <c r="U4">
        <f>표1_5[[#This Row],[tile_S]]*CEILING(표1_5[[#This Row],[tile_OC]]/4,1)</f>
        <v>15000</v>
      </c>
      <c r="V4">
        <f>표1_5[[#This Row],[tile_IC]]*CEILING((표1_5[[#This Row],[tile_OC]]/4),1)</f>
        <v>576</v>
      </c>
      <c r="W4">
        <v>0.10816000000000001</v>
      </c>
      <c r="X4">
        <v>5.5924000000000001E-2</v>
      </c>
      <c r="Y4">
        <f>표1_5[[#This Row],[MAC Count]]/표1_5[[#This Row],[CPU reference time(s)]]/1000000</f>
        <v>66.80236686390532</v>
      </c>
      <c r="Z4">
        <f>표1_5[[#This Row],[MAC Count]]/표1_5[[#This Row],[FPGA End-to-End time(s)]]/1000000</f>
        <v>129.19934196409412</v>
      </c>
      <c r="AA4">
        <f>(표1_5[[#This Row],[MAC Count]]/표1_5[[#This Row],[Run time(PL) (s)]])/표1_5[[#This Row],[Theoretical Peak MAC/s]]*100</f>
        <v>99.118525021949068</v>
      </c>
      <c r="AB4">
        <v>8.3700000000000007E-3</v>
      </c>
      <c r="AC4">
        <v>2.2780000000000001E-3</v>
      </c>
      <c r="AD4">
        <v>6.0670000000000003E-3</v>
      </c>
      <c r="AE4">
        <v>2.5000000000000001E-5</v>
      </c>
      <c r="AF4">
        <f>표1_5[[#This Row],[Run time(PL) (s)]]/표1_5[[#This Row],[PL Active time (s)]]</f>
        <v>0.27216248506571084</v>
      </c>
      <c r="AG4">
        <f>표1_5[[#This Row],[DMA time (s)]]/표1_5[[#This Row],[PL Active time (s)]]</f>
        <v>0.72485065710872165</v>
      </c>
      <c r="AH4">
        <v>3.0109999999999998E-3</v>
      </c>
      <c r="AI4">
        <v>4.6E-5</v>
      </c>
      <c r="AJ4">
        <v>3.0109999999999998E-3</v>
      </c>
      <c r="AK4">
        <v>4.6307000000000001E-2</v>
      </c>
      <c r="AL4">
        <v>2.7620000000000001E-3</v>
      </c>
      <c r="AM4">
        <v>3.4367000000000002E-2</v>
      </c>
      <c r="AN4">
        <v>3.8279999999999998E-3</v>
      </c>
      <c r="AO4">
        <v>5.3499999999999997E-3</v>
      </c>
      <c r="AP4">
        <f>표1_5[[#This Row],[Numpy Layout (s)]]/표1_5[[#This Row],[Host Run time (s)]]</f>
        <v>0.74215561362213056</v>
      </c>
      <c r="AQ4">
        <f>표1_5[[#This Row],[MMIO (s)]]/표1_5[[#This Row],[Host Run time (s)]]</f>
        <v>5.9645409981212344E-2</v>
      </c>
      <c r="AR4">
        <f>(표1_5[[#This Row],[DMA Send wait (s)]]+표1_5[[#This Row],[DMA Recv Wait (s)]])/표1_5[[#This Row],[Host Run time (s)]]</f>
        <v>0.19819897639665707</v>
      </c>
    </row>
    <row r="5" spans="1:44">
      <c r="A5" s="1"/>
      <c r="B5">
        <v>4</v>
      </c>
      <c r="C5" t="s">
        <v>14</v>
      </c>
      <c r="D5">
        <v>56</v>
      </c>
      <c r="E5">
        <v>56</v>
      </c>
      <c r="F5">
        <f t="shared" si="2"/>
        <v>3136</v>
      </c>
      <c r="G5">
        <v>24</v>
      </c>
      <c r="H5">
        <v>144</v>
      </c>
      <c r="I5">
        <f t="shared" si="0"/>
        <v>10838016</v>
      </c>
      <c r="J5">
        <f>(4*(표1_5[[#This Row],[S]]*표1_5[[#This Row],[IC]])+4*(표1_5[[#This Row],[IC]]*표1_5[[#This Row],[OC]])+4*(표1_5[[#This Row],[S]]*표1_5[[#This Row],[OC]]))</f>
        <v>2121216</v>
      </c>
      <c r="K5">
        <f>표1_5[[#This Row],[MAC Count]]/표1_5[[#This Row],[Memory Traffic]]</f>
        <v>5.109341057204924</v>
      </c>
      <c r="L5">
        <f>표1_5[[#This Row],[CPU reference time(s)]]/표1_5[[#This Row],[FPGA End-to-End time(s)]]</f>
        <v>1.3348254179732564</v>
      </c>
      <c r="M5">
        <f>표1_5[[#This Row],[Memory Traffic]]/(표1_5[[#This Row],[ISRAM DMA (s)]]+표1_5[[#This Row],[WSRAM DMA (s)]]+표1_5[[#This Row],[PSRAM DMA (s)]])/1000000000</f>
        <v>0.11110496543054683</v>
      </c>
      <c r="N5">
        <f t="shared" si="1"/>
        <v>8</v>
      </c>
      <c r="O5">
        <f>표1_5[[#This Row],[MAC Count]]*표1_5[[#This Row],[Repeat]]</f>
        <v>86704128</v>
      </c>
      <c r="P5">
        <v>416</v>
      </c>
      <c r="Q5">
        <v>24</v>
      </c>
      <c r="R5">
        <v>144</v>
      </c>
      <c r="S5">
        <f t="shared" si="3"/>
        <v>3200000000</v>
      </c>
      <c r="T5">
        <f>표1_5[[#This Row],[tile_S]]*CEILING((표1_5[[#This Row],[tile_IC]]/8),1)</f>
        <v>1248</v>
      </c>
      <c r="U5">
        <f>표1_5[[#This Row],[tile_S]]*CEILING(표1_5[[#This Row],[tile_OC]]/4,1)</f>
        <v>14976</v>
      </c>
      <c r="V5">
        <f>표1_5[[#This Row],[tile_IC]]*CEILING((표1_5[[#This Row],[tile_OC]]/4),1)</f>
        <v>864</v>
      </c>
      <c r="W5">
        <v>0.16430900000000001</v>
      </c>
      <c r="X5">
        <v>0.123094</v>
      </c>
      <c r="Y5">
        <f>표1_5[[#This Row],[MAC Count]]/표1_5[[#This Row],[CPU reference time(s)]]/1000000</f>
        <v>65.961182893207308</v>
      </c>
      <c r="Z5">
        <f>표1_5[[#This Row],[MAC Count]]/표1_5[[#This Row],[FPGA End-to-End time(s)]]/1000000</f>
        <v>88.046663525435847</v>
      </c>
      <c r="AA5">
        <f>(표1_5[[#This Row],[MAC Count]]/표1_5[[#This Row],[Run time(PL) (s)]])/표1_5[[#This Row],[Theoretical Peak MAC/s]]*100</f>
        <v>96.547320410490329</v>
      </c>
      <c r="AB5">
        <v>2.2748000000000001E-2</v>
      </c>
      <c r="AC5">
        <v>3.5079999999999998E-3</v>
      </c>
      <c r="AD5">
        <v>1.9092000000000001E-2</v>
      </c>
      <c r="AE5">
        <v>1.4799999999999999E-4</v>
      </c>
      <c r="AF5">
        <f>표1_5[[#This Row],[Run time(PL) (s)]]/표1_5[[#This Row],[PL Active time (s)]]</f>
        <v>0.15421135924037277</v>
      </c>
      <c r="AG5">
        <f>표1_5[[#This Row],[DMA time (s)]]/표1_5[[#This Row],[PL Active time (s)]]</f>
        <v>0.83928257429224551</v>
      </c>
      <c r="AH5">
        <v>7.5299999999999998E-4</v>
      </c>
      <c r="AI5">
        <v>2.7599999999999999E-4</v>
      </c>
      <c r="AJ5">
        <v>1.8062999999999999E-2</v>
      </c>
      <c r="AK5">
        <v>0.116675</v>
      </c>
      <c r="AL5">
        <v>9.7590000000000003E-3</v>
      </c>
      <c r="AM5">
        <v>8.1035999999999997E-2</v>
      </c>
      <c r="AN5">
        <v>4.0099999999999997E-3</v>
      </c>
      <c r="AO5">
        <v>2.1870000000000001E-2</v>
      </c>
      <c r="AP5">
        <f>표1_5[[#This Row],[Numpy Layout (s)]]/표1_5[[#This Row],[Host Run time (s)]]</f>
        <v>0.69454467538032993</v>
      </c>
      <c r="AQ5">
        <f>표1_5[[#This Row],[MMIO (s)]]/표1_5[[#This Row],[Host Run time (s)]]</f>
        <v>8.3642596957360191E-2</v>
      </c>
      <c r="AR5">
        <f>(표1_5[[#This Row],[DMA Send wait (s)]]+표1_5[[#This Row],[DMA Recv Wait (s)]])/표1_5[[#This Row],[Host Run time (s)]]</f>
        <v>0.22181272766230983</v>
      </c>
    </row>
    <row r="6" spans="1:44">
      <c r="A6" s="1"/>
      <c r="B6">
        <v>5</v>
      </c>
      <c r="C6" t="s">
        <v>12</v>
      </c>
      <c r="D6">
        <v>56</v>
      </c>
      <c r="E6">
        <v>56</v>
      </c>
      <c r="F6">
        <f t="shared" si="2"/>
        <v>3136</v>
      </c>
      <c r="G6">
        <v>144</v>
      </c>
      <c r="H6">
        <v>24</v>
      </c>
      <c r="I6">
        <f t="shared" si="0"/>
        <v>10838016</v>
      </c>
      <c r="J6">
        <f>(4*(표1_5[[#This Row],[S]]*표1_5[[#This Row],[IC]])+4*(표1_5[[#This Row],[IC]]*표1_5[[#This Row],[OC]])+4*(표1_5[[#This Row],[S]]*표1_5[[#This Row],[OC]]))</f>
        <v>2121216</v>
      </c>
      <c r="K6">
        <f>표1_5[[#This Row],[MAC Count]]/표1_5[[#This Row],[Memory Traffic]]</f>
        <v>5.109341057204924</v>
      </c>
      <c r="L6">
        <f>표1_5[[#This Row],[CPU reference time(s)]]/표1_5[[#This Row],[FPGA End-to-End time(s)]]</f>
        <v>2.4190760104263416</v>
      </c>
      <c r="M6">
        <f>표1_5[[#This Row],[Memory Traffic]]/(표1_5[[#This Row],[ISRAM DMA (s)]]+표1_5[[#This Row],[WSRAM DMA (s)]]+표1_5[[#This Row],[PSRAM DMA (s)]])/1000000000</f>
        <v>0.27925434439178515</v>
      </c>
      <c r="N6">
        <f t="shared" si="1"/>
        <v>2</v>
      </c>
      <c r="O6">
        <f>표1_5[[#This Row],[MAC Count]]*표1_5[[#This Row],[Repeat]]</f>
        <v>21676032</v>
      </c>
      <c r="P6">
        <v>1666</v>
      </c>
      <c r="Q6">
        <v>144</v>
      </c>
      <c r="R6">
        <v>24</v>
      </c>
      <c r="S6">
        <f t="shared" si="3"/>
        <v>3200000000</v>
      </c>
      <c r="T6">
        <f>표1_5[[#This Row],[tile_S]]*CEILING((표1_5[[#This Row],[tile_IC]]/8),1)</f>
        <v>29988</v>
      </c>
      <c r="U6">
        <f>표1_5[[#This Row],[tile_S]]*CEILING(표1_5[[#This Row],[tile_OC]]/4,1)</f>
        <v>9996</v>
      </c>
      <c r="V6">
        <f>표1_5[[#This Row],[tile_IC]]*CEILING((표1_5[[#This Row],[tile_OC]]/4),1)</f>
        <v>864</v>
      </c>
      <c r="W6">
        <v>0.16148299999999999</v>
      </c>
      <c r="X6">
        <v>6.6753999999999994E-2</v>
      </c>
      <c r="Y6">
        <f>표1_5[[#This Row],[MAC Count]]/표1_5[[#This Row],[CPU reference time(s)]]/1000000</f>
        <v>67.115522996228705</v>
      </c>
      <c r="Z6">
        <f>표1_5[[#This Row],[MAC Count]]/표1_5[[#This Row],[FPGA End-to-End time(s)]]/1000000</f>
        <v>162.35755160739433</v>
      </c>
      <c r="AA6">
        <f>(표1_5[[#This Row],[MAC Count]]/표1_5[[#This Row],[Run time(PL) (s)]])/표1_5[[#This Row],[Theoretical Peak MAC/s]]*100</f>
        <v>99.118525021949083</v>
      </c>
      <c r="AB6">
        <v>1.1050000000000001E-2</v>
      </c>
      <c r="AC6">
        <v>3.4169999999999999E-3</v>
      </c>
      <c r="AD6">
        <v>7.5960000000000003E-3</v>
      </c>
      <c r="AE6">
        <v>3.6999999999999998E-5</v>
      </c>
      <c r="AF6">
        <f>표1_5[[#This Row],[Run time(PL) (s)]]/표1_5[[#This Row],[PL Active time (s)]]</f>
        <v>0.3092307692307692</v>
      </c>
      <c r="AG6">
        <f>표1_5[[#This Row],[DMA time (s)]]/표1_5[[#This Row],[PL Active time (s)]]</f>
        <v>0.68742081447963799</v>
      </c>
      <c r="AH6">
        <v>4.516E-3</v>
      </c>
      <c r="AI6">
        <v>6.8999999999999997E-5</v>
      </c>
      <c r="AJ6">
        <v>3.0109999999999998E-3</v>
      </c>
      <c r="AK6">
        <v>5.8972999999999998E-2</v>
      </c>
      <c r="AL6">
        <v>2.627E-3</v>
      </c>
      <c r="AM6">
        <v>4.4524000000000001E-2</v>
      </c>
      <c r="AN6">
        <v>5.3189999999999999E-3</v>
      </c>
      <c r="AO6">
        <v>6.5030000000000001E-3</v>
      </c>
      <c r="AP6">
        <f>표1_5[[#This Row],[Numpy Layout (s)]]/표1_5[[#This Row],[Host Run time (s)]]</f>
        <v>0.75498957149882151</v>
      </c>
      <c r="AQ6">
        <f>표1_5[[#This Row],[MMIO (s)]]/표1_5[[#This Row],[Host Run time (s)]]</f>
        <v>4.4545809099079244E-2</v>
      </c>
      <c r="AR6">
        <f>(표1_5[[#This Row],[DMA Send wait (s)]]+표1_5[[#This Row],[DMA Recv Wait (s)]])/표1_5[[#This Row],[Host Run time (s)]]</f>
        <v>0.20046461940209925</v>
      </c>
    </row>
    <row r="7" spans="1:44">
      <c r="A7" s="1">
        <v>3</v>
      </c>
      <c r="B7">
        <v>6</v>
      </c>
      <c r="C7" t="s">
        <v>13</v>
      </c>
      <c r="D7">
        <v>56</v>
      </c>
      <c r="E7">
        <v>56</v>
      </c>
      <c r="F7">
        <f t="shared" si="2"/>
        <v>3136</v>
      </c>
      <c r="G7">
        <v>24</v>
      </c>
      <c r="H7">
        <v>144</v>
      </c>
      <c r="I7">
        <f t="shared" si="0"/>
        <v>10838016</v>
      </c>
      <c r="J7">
        <f>(4*(표1_5[[#This Row],[S]]*표1_5[[#This Row],[IC]])+4*(표1_5[[#This Row],[IC]]*표1_5[[#This Row],[OC]])+4*(표1_5[[#This Row],[S]]*표1_5[[#This Row],[OC]]))</f>
        <v>2121216</v>
      </c>
      <c r="K7">
        <f>표1_5[[#This Row],[MAC Count]]/표1_5[[#This Row],[Memory Traffic]]</f>
        <v>5.109341057204924</v>
      </c>
      <c r="L7">
        <f>표1_5[[#This Row],[CPU reference time(s)]]/표1_5[[#This Row],[FPGA End-to-End time(s)]]</f>
        <v>1.3295356990989979</v>
      </c>
      <c r="M7">
        <f>표1_5[[#This Row],[Memory Traffic]]/(표1_5[[#This Row],[ISRAM DMA (s)]]+표1_5[[#This Row],[WSRAM DMA (s)]]+표1_5[[#This Row],[PSRAM DMA (s)]])/1000000000</f>
        <v>0.11110496543054683</v>
      </c>
      <c r="N7">
        <f t="shared" si="1"/>
        <v>8</v>
      </c>
      <c r="O7">
        <f>표1_5[[#This Row],[MAC Count]]*표1_5[[#This Row],[Repeat]]</f>
        <v>86704128</v>
      </c>
      <c r="P7">
        <v>416</v>
      </c>
      <c r="Q7">
        <v>24</v>
      </c>
      <c r="R7">
        <v>144</v>
      </c>
      <c r="S7">
        <f t="shared" si="3"/>
        <v>3200000000</v>
      </c>
      <c r="T7">
        <f>표1_5[[#This Row],[tile_S]]*CEILING((표1_5[[#This Row],[tile_IC]]/8),1)</f>
        <v>1248</v>
      </c>
      <c r="U7">
        <f>표1_5[[#This Row],[tile_S]]*CEILING(표1_5[[#This Row],[tile_OC]]/4,1)</f>
        <v>14976</v>
      </c>
      <c r="V7">
        <f>표1_5[[#This Row],[tile_IC]]*CEILING((표1_5[[#This Row],[tile_OC]]/4),1)</f>
        <v>864</v>
      </c>
      <c r="W7">
        <v>0.165712</v>
      </c>
      <c r="X7">
        <v>0.124639</v>
      </c>
      <c r="Y7">
        <f>표1_5[[#This Row],[MAC Count]]/표1_5[[#This Row],[CPU reference time(s)]]/1000000</f>
        <v>65.402722796176505</v>
      </c>
      <c r="Z7">
        <f>표1_5[[#This Row],[MAC Count]]/표1_5[[#This Row],[FPGA End-to-End time(s)]]/1000000</f>
        <v>86.955254775792497</v>
      </c>
      <c r="AA7">
        <f>(표1_5[[#This Row],[MAC Count]]/표1_5[[#This Row],[Run time(PL) (s)]])/표1_5[[#This Row],[Theoretical Peak MAC/s]]*100</f>
        <v>96.547320410490329</v>
      </c>
      <c r="AB7">
        <v>2.2748000000000001E-2</v>
      </c>
      <c r="AC7">
        <v>3.5079999999999998E-3</v>
      </c>
      <c r="AD7">
        <v>1.9092000000000001E-2</v>
      </c>
      <c r="AE7">
        <v>1.4799999999999999E-4</v>
      </c>
      <c r="AF7">
        <f>표1_5[[#This Row],[Run time(PL) (s)]]/표1_5[[#This Row],[PL Active time (s)]]</f>
        <v>0.15421135924037277</v>
      </c>
      <c r="AG7">
        <f>표1_5[[#This Row],[DMA time (s)]]/표1_5[[#This Row],[PL Active time (s)]]</f>
        <v>0.83928257429224551</v>
      </c>
      <c r="AH7">
        <v>7.5299999999999998E-4</v>
      </c>
      <c r="AI7">
        <v>2.7599999999999999E-4</v>
      </c>
      <c r="AJ7">
        <v>1.8062999999999999E-2</v>
      </c>
      <c r="AK7">
        <v>0.116984</v>
      </c>
      <c r="AL7">
        <v>9.8980000000000005E-3</v>
      </c>
      <c r="AM7">
        <v>8.1179000000000001E-2</v>
      </c>
      <c r="AN7">
        <v>4.0499999999999998E-3</v>
      </c>
      <c r="AO7">
        <v>2.1857999999999999E-2</v>
      </c>
      <c r="AP7">
        <f>표1_5[[#This Row],[Numpy Layout (s)]]/표1_5[[#This Row],[Host Run time (s)]]</f>
        <v>0.69393250359023451</v>
      </c>
      <c r="AQ7">
        <f>표1_5[[#This Row],[MMIO (s)]]/표1_5[[#This Row],[Host Run time (s)]]</f>
        <v>8.4609861177596932E-2</v>
      </c>
      <c r="AR7">
        <f>(표1_5[[#This Row],[DMA Send wait (s)]]+표1_5[[#This Row],[DMA Recv Wait (s)]])/표1_5[[#This Row],[Host Run time (s)]]</f>
        <v>0.22146618340969704</v>
      </c>
    </row>
    <row r="8" spans="1:44">
      <c r="A8" s="1"/>
      <c r="B8">
        <v>7</v>
      </c>
      <c r="C8" t="s">
        <v>12</v>
      </c>
      <c r="D8">
        <v>28</v>
      </c>
      <c r="E8">
        <v>28</v>
      </c>
      <c r="F8">
        <f t="shared" si="2"/>
        <v>784</v>
      </c>
      <c r="G8">
        <v>144</v>
      </c>
      <c r="H8">
        <v>32</v>
      </c>
      <c r="I8">
        <f t="shared" si="0"/>
        <v>3612672</v>
      </c>
      <c r="J8">
        <f>(4*(표1_5[[#This Row],[S]]*표1_5[[#This Row],[IC]])+4*(표1_5[[#This Row],[IC]]*표1_5[[#This Row],[OC]])+4*(표1_5[[#This Row],[S]]*표1_5[[#This Row],[OC]]))</f>
        <v>570368</v>
      </c>
      <c r="K8">
        <f>표1_5[[#This Row],[MAC Count]]/표1_5[[#This Row],[Memory Traffic]]</f>
        <v>6.3339317773788153</v>
      </c>
      <c r="L8">
        <f>표1_5[[#This Row],[CPU reference time(s)]]/표1_5[[#This Row],[FPGA End-to-End time(s)]]</f>
        <v>2.2597254004576657</v>
      </c>
      <c r="M8">
        <f>표1_5[[#This Row],[Memory Traffic]]/(표1_5[[#This Row],[ISRAM DMA (s)]]+표1_5[[#This Row],[WSRAM DMA (s)]]+표1_5[[#This Row],[PSRAM DMA (s)]])/1000000000</f>
        <v>0.26175676916016521</v>
      </c>
      <c r="N8">
        <f t="shared" si="1"/>
        <v>1</v>
      </c>
      <c r="O8">
        <f>표1_5[[#This Row],[MAC Count]]*표1_5[[#This Row],[Repeat]]</f>
        <v>3612672</v>
      </c>
      <c r="P8">
        <v>784</v>
      </c>
      <c r="Q8">
        <v>144</v>
      </c>
      <c r="R8">
        <v>32</v>
      </c>
      <c r="S8">
        <f t="shared" si="3"/>
        <v>3200000000</v>
      </c>
      <c r="T8">
        <f>표1_5[[#This Row],[tile_S]]*CEILING((표1_5[[#This Row],[tile_IC]]/8),1)</f>
        <v>14112</v>
      </c>
      <c r="U8">
        <f>표1_5[[#This Row],[tile_S]]*CEILING(표1_5[[#This Row],[tile_OC]]/4,1)</f>
        <v>6272</v>
      </c>
      <c r="V8">
        <f>표1_5[[#This Row],[tile_IC]]*CEILING((표1_5[[#This Row],[tile_OC]]/4),1)</f>
        <v>1152</v>
      </c>
      <c r="W8">
        <v>5.3324999999999997E-2</v>
      </c>
      <c r="X8">
        <v>2.3598000000000001E-2</v>
      </c>
      <c r="Y8">
        <f>표1_5[[#This Row],[MAC Count]]/표1_5[[#This Row],[CPU reference time(s)]]/1000000</f>
        <v>67.748185654008452</v>
      </c>
      <c r="Z8">
        <f>표1_5[[#This Row],[MAC Count]]/표1_5[[#This Row],[FPGA End-to-End time(s)]]/1000000</f>
        <v>153.09229595728451</v>
      </c>
      <c r="AA8">
        <f>(표1_5[[#This Row],[MAC Count]]/표1_5[[#This Row],[Run time(PL) (s)]])/표1_5[[#This Row],[Theoretical Peak MAC/s]]*100</f>
        <v>98.255874673629236</v>
      </c>
      <c r="AB8">
        <v>3.3519999999999999E-3</v>
      </c>
      <c r="AC8">
        <v>1.1490000000000001E-3</v>
      </c>
      <c r="AD8">
        <v>2.1789999999999999E-3</v>
      </c>
      <c r="AE8">
        <v>2.5000000000000001E-5</v>
      </c>
      <c r="AF8">
        <f>표1_5[[#This Row],[Run time(PL) (s)]]/표1_5[[#This Row],[PL Active time (s)]]</f>
        <v>0.34278042959427207</v>
      </c>
      <c r="AG8">
        <f>표1_5[[#This Row],[DMA time (s)]]/표1_5[[#This Row],[PL Active time (s)]]</f>
        <v>0.65005966587112174</v>
      </c>
      <c r="AH8">
        <v>1.129E-3</v>
      </c>
      <c r="AI8">
        <v>4.6E-5</v>
      </c>
      <c r="AJ8">
        <v>1.0039999999999999E-3</v>
      </c>
      <c r="AK8">
        <v>1.5713999999999999E-2</v>
      </c>
      <c r="AL8">
        <v>1.372E-3</v>
      </c>
      <c r="AM8">
        <v>1.0607999999999999E-2</v>
      </c>
      <c r="AN8">
        <v>1.539E-3</v>
      </c>
      <c r="AO8">
        <v>2.1949999999999999E-3</v>
      </c>
      <c r="AP8">
        <f>표1_5[[#This Row],[Numpy Layout (s)]]/표1_5[[#This Row],[Host Run time (s)]]</f>
        <v>0.67506681939671631</v>
      </c>
      <c r="AQ8">
        <f>표1_5[[#This Row],[MMIO (s)]]/표1_5[[#This Row],[Host Run time (s)]]</f>
        <v>8.731067837597048E-2</v>
      </c>
      <c r="AR8">
        <f>(표1_5[[#This Row],[DMA Send wait (s)]]+표1_5[[#This Row],[DMA Recv Wait (s)]])/표1_5[[#This Row],[Host Run time (s)]]</f>
        <v>0.23762250222731324</v>
      </c>
    </row>
    <row r="9" spans="1:44">
      <c r="A9" s="1"/>
      <c r="B9">
        <v>8</v>
      </c>
      <c r="C9" t="s">
        <v>13</v>
      </c>
      <c r="D9">
        <v>28</v>
      </c>
      <c r="E9">
        <v>28</v>
      </c>
      <c r="F9">
        <f t="shared" si="2"/>
        <v>784</v>
      </c>
      <c r="G9">
        <v>32</v>
      </c>
      <c r="H9">
        <v>192</v>
      </c>
      <c r="I9">
        <f t="shared" si="0"/>
        <v>4816896</v>
      </c>
      <c r="J9">
        <f>(4*(표1_5[[#This Row],[S]]*표1_5[[#This Row],[IC]])+4*(표1_5[[#This Row],[IC]]*표1_5[[#This Row],[OC]])+4*(표1_5[[#This Row],[S]]*표1_5[[#This Row],[OC]]))</f>
        <v>727040</v>
      </c>
      <c r="K9">
        <f>표1_5[[#This Row],[MAC Count]]/표1_5[[#This Row],[Memory Traffic]]</f>
        <v>6.6253521126760564</v>
      </c>
      <c r="L9">
        <f>표1_5[[#This Row],[CPU reference time(s)]]/표1_5[[#This Row],[FPGA End-to-End time(s)]]</f>
        <v>1.3449565504344956</v>
      </c>
      <c r="M9">
        <f>표1_5[[#This Row],[Memory Traffic]]/(표1_5[[#This Row],[ISRAM DMA (s)]]+표1_5[[#This Row],[WSRAM DMA (s)]]+표1_5[[#This Row],[PSRAM DMA (s)]])/1000000000</f>
        <v>0.11261462205700123</v>
      </c>
      <c r="N9">
        <f t="shared" si="1"/>
        <v>3</v>
      </c>
      <c r="O9">
        <f>표1_5[[#This Row],[MAC Count]]*표1_5[[#This Row],[Repeat]]</f>
        <v>14450688</v>
      </c>
      <c r="P9">
        <v>312</v>
      </c>
      <c r="Q9">
        <v>32</v>
      </c>
      <c r="R9">
        <v>192</v>
      </c>
      <c r="S9">
        <f t="shared" si="3"/>
        <v>3200000000</v>
      </c>
      <c r="T9">
        <f>표1_5[[#This Row],[tile_S]]*CEILING((표1_5[[#This Row],[tile_IC]]/8),1)</f>
        <v>1248</v>
      </c>
      <c r="U9">
        <f>표1_5[[#This Row],[tile_S]]*CEILING(표1_5[[#This Row],[tile_OC]]/4,1)</f>
        <v>14976</v>
      </c>
      <c r="V9">
        <f>표1_5[[#This Row],[tile_IC]]*CEILING((표1_5[[#This Row],[tile_OC]]/4),1)</f>
        <v>1536</v>
      </c>
      <c r="W9">
        <v>6.1135000000000002E-2</v>
      </c>
      <c r="X9">
        <v>4.5455000000000002E-2</v>
      </c>
      <c r="Y9">
        <f>표1_5[[#This Row],[MAC Count]]/표1_5[[#This Row],[CPU reference time(s)]]/1000000</f>
        <v>78.791134374744416</v>
      </c>
      <c r="Z9">
        <f>표1_5[[#This Row],[MAC Count]]/표1_5[[#This Row],[FPGA End-to-End time(s)]]/1000000</f>
        <v>105.97065229347706</v>
      </c>
      <c r="AA9">
        <f>(표1_5[[#This Row],[MAC Count]]/표1_5[[#This Row],[Run time(PL) (s)]])/표1_5[[#This Row],[Theoretical Peak MAC/s]]*100</f>
        <v>94.910466582597735</v>
      </c>
      <c r="AB9">
        <v>8.1399999999999997E-3</v>
      </c>
      <c r="AC9">
        <v>1.586E-3</v>
      </c>
      <c r="AD9">
        <v>6.4559999999999999E-3</v>
      </c>
      <c r="AE9">
        <v>9.7999999999999997E-5</v>
      </c>
      <c r="AF9">
        <f>표1_5[[#This Row],[Run time(PL) (s)]]/표1_5[[#This Row],[PL Active time (s)]]</f>
        <v>0.19484029484029483</v>
      </c>
      <c r="AG9">
        <f>표1_5[[#This Row],[DMA time (s)]]/표1_5[[#This Row],[PL Active time (s)]]</f>
        <v>0.79312039312039317</v>
      </c>
      <c r="AH9">
        <v>2.5099999999999998E-4</v>
      </c>
      <c r="AI9">
        <v>1.84E-4</v>
      </c>
      <c r="AJ9">
        <v>6.0210000000000003E-3</v>
      </c>
      <c r="AK9">
        <v>3.9718999999999997E-2</v>
      </c>
      <c r="AL9">
        <v>3.7850000000000002E-3</v>
      </c>
      <c r="AM9">
        <v>2.6535E-2</v>
      </c>
      <c r="AN9">
        <v>1.6280000000000001E-3</v>
      </c>
      <c r="AO9">
        <v>7.7710000000000001E-3</v>
      </c>
      <c r="AP9">
        <f>표1_5[[#This Row],[Numpy Layout (s)]]/표1_5[[#This Row],[Host Run time (s)]]</f>
        <v>0.66806817895717419</v>
      </c>
      <c r="AQ9">
        <f>표1_5[[#This Row],[MMIO (s)]]/표1_5[[#This Row],[Host Run time (s)]]</f>
        <v>9.5294443465344048E-2</v>
      </c>
      <c r="AR9">
        <f>(표1_5[[#This Row],[DMA Send wait (s)]]+표1_5[[#This Row],[DMA Recv Wait (s)]])/표1_5[[#This Row],[Host Run time (s)]]</f>
        <v>0.23663737757748185</v>
      </c>
    </row>
    <row r="10" spans="1:44">
      <c r="A10" s="1"/>
      <c r="B10">
        <v>9</v>
      </c>
      <c r="C10" t="s">
        <v>11</v>
      </c>
      <c r="D10">
        <v>28</v>
      </c>
      <c r="E10">
        <v>28</v>
      </c>
      <c r="F10">
        <f t="shared" si="2"/>
        <v>784</v>
      </c>
      <c r="G10">
        <v>192</v>
      </c>
      <c r="H10">
        <v>32</v>
      </c>
      <c r="I10">
        <f t="shared" si="0"/>
        <v>4816896</v>
      </c>
      <c r="J10">
        <f>(4*(표1_5[[#This Row],[S]]*표1_5[[#This Row],[IC]])+4*(표1_5[[#This Row],[IC]]*표1_5[[#This Row],[OC]])+4*(표1_5[[#This Row],[S]]*표1_5[[#This Row],[OC]]))</f>
        <v>727040</v>
      </c>
      <c r="K10">
        <f>표1_5[[#This Row],[MAC Count]]/표1_5[[#This Row],[Memory Traffic]]</f>
        <v>6.6253521126760564</v>
      </c>
      <c r="L10">
        <f>표1_5[[#This Row],[CPU reference time(s)]]/표1_5[[#This Row],[FPGA End-to-End time(s)]]</f>
        <v>2.6130618780738879</v>
      </c>
      <c r="M10">
        <f>표1_5[[#This Row],[Memory Traffic]]/(표1_5[[#This Row],[ISRAM DMA (s)]]+표1_5[[#This Row],[WSRAM DMA (s)]]+표1_5[[#This Row],[PSRAM DMA (s)]])/1000000000</f>
        <v>0.28289494163424123</v>
      </c>
      <c r="N10">
        <f t="shared" si="1"/>
        <v>1</v>
      </c>
      <c r="O10">
        <f>표1_5[[#This Row],[MAC Count]]*표1_5[[#This Row],[Repeat]]</f>
        <v>4816896</v>
      </c>
      <c r="P10">
        <v>784</v>
      </c>
      <c r="Q10">
        <v>192</v>
      </c>
      <c r="R10">
        <v>32</v>
      </c>
      <c r="S10">
        <f t="shared" si="3"/>
        <v>3200000000</v>
      </c>
      <c r="T10">
        <f>표1_5[[#This Row],[tile_S]]*CEILING((표1_5[[#This Row],[tile_IC]]/8),1)</f>
        <v>18816</v>
      </c>
      <c r="U10">
        <f>표1_5[[#This Row],[tile_S]]*CEILING(표1_5[[#This Row],[tile_OC]]/4,1)</f>
        <v>6272</v>
      </c>
      <c r="V10">
        <f>표1_5[[#This Row],[tile_IC]]*CEILING((표1_5[[#This Row],[tile_OC]]/4),1)</f>
        <v>1536</v>
      </c>
      <c r="W10">
        <v>6.8538000000000002E-2</v>
      </c>
      <c r="X10">
        <v>2.6228999999999999E-2</v>
      </c>
      <c r="Y10">
        <f>표1_5[[#This Row],[MAC Count]]/표1_5[[#This Row],[CPU reference time(s)]]/1000000</f>
        <v>70.280661822638535</v>
      </c>
      <c r="Z10">
        <f>표1_5[[#This Row],[MAC Count]]/표1_5[[#This Row],[FPGA End-to-End time(s)]]/1000000</f>
        <v>183.64771817453962</v>
      </c>
      <c r="AA10">
        <f>(표1_5[[#This Row],[MAC Count]]/표1_5[[#This Row],[Run time(PL) (s)]])/표1_5[[#This Row],[Theoretical Peak MAC/s]]*100</f>
        <v>98.255874673629236</v>
      </c>
      <c r="AB10">
        <v>4.1349999999999998E-3</v>
      </c>
      <c r="AC10">
        <v>1.5319999999999999E-3</v>
      </c>
      <c r="AD10">
        <v>2.5699999999999998E-3</v>
      </c>
      <c r="AE10">
        <v>3.3000000000000003E-5</v>
      </c>
      <c r="AF10">
        <f>표1_5[[#This Row],[Run time(PL) (s)]]/표1_5[[#This Row],[PL Active time (s)]]</f>
        <v>0.37049576783555016</v>
      </c>
      <c r="AG10">
        <f>표1_5[[#This Row],[DMA time (s)]]/표1_5[[#This Row],[PL Active time (s)]]</f>
        <v>0.62152357920193468</v>
      </c>
      <c r="AH10">
        <v>1.505E-3</v>
      </c>
      <c r="AI10">
        <v>6.0999999999999999E-5</v>
      </c>
      <c r="AJ10">
        <v>1.0039999999999999E-3</v>
      </c>
      <c r="AK10">
        <v>1.8637999999999998E-2</v>
      </c>
      <c r="AL10">
        <v>1.611E-3</v>
      </c>
      <c r="AM10">
        <v>1.2517E-2</v>
      </c>
      <c r="AN10">
        <v>1.9269999999999999E-3</v>
      </c>
      <c r="AO10">
        <v>2.5829999999999998E-3</v>
      </c>
      <c r="AP10">
        <f>표1_5[[#This Row],[Numpy Layout (s)]]/표1_5[[#This Row],[Host Run time (s)]]</f>
        <v>0.67158493400579466</v>
      </c>
      <c r="AQ10">
        <f>표1_5[[#This Row],[MMIO (s)]]/표1_5[[#This Row],[Host Run time (s)]]</f>
        <v>8.6436312909110427E-2</v>
      </c>
      <c r="AR10">
        <f>(표1_5[[#This Row],[DMA Send wait (s)]]+표1_5[[#This Row],[DMA Recv Wait (s)]])/표1_5[[#This Row],[Host Run time (s)]]</f>
        <v>0.24197875308509501</v>
      </c>
    </row>
    <row r="11" spans="1:44">
      <c r="A11" s="1"/>
      <c r="B11">
        <v>10</v>
      </c>
      <c r="C11" t="s">
        <v>13</v>
      </c>
      <c r="D11">
        <v>28</v>
      </c>
      <c r="E11">
        <v>28</v>
      </c>
      <c r="F11">
        <f t="shared" si="2"/>
        <v>784</v>
      </c>
      <c r="G11">
        <v>32</v>
      </c>
      <c r="H11">
        <v>192</v>
      </c>
      <c r="I11">
        <f t="shared" si="0"/>
        <v>4816896</v>
      </c>
      <c r="J11">
        <f>(4*(표1_5[[#This Row],[S]]*표1_5[[#This Row],[IC]])+4*(표1_5[[#This Row],[IC]]*표1_5[[#This Row],[OC]])+4*(표1_5[[#This Row],[S]]*표1_5[[#This Row],[OC]]))</f>
        <v>727040</v>
      </c>
      <c r="K11">
        <f>표1_5[[#This Row],[MAC Count]]/표1_5[[#This Row],[Memory Traffic]]</f>
        <v>6.6253521126760564</v>
      </c>
      <c r="L11">
        <f>표1_5[[#This Row],[CPU reference time(s)]]/표1_5[[#This Row],[FPGA End-to-End time(s)]]</f>
        <v>1.465809604759881</v>
      </c>
      <c r="M11">
        <f>표1_5[[#This Row],[Memory Traffic]]/(표1_5[[#This Row],[ISRAM DMA (s)]]+표1_5[[#This Row],[WSRAM DMA (s)]]+표1_5[[#This Row],[PSRAM DMA (s)]])/1000000000</f>
        <v>0.11261462205700123</v>
      </c>
      <c r="N11">
        <f t="shared" si="1"/>
        <v>3</v>
      </c>
      <c r="O11">
        <f>표1_5[[#This Row],[MAC Count]]*표1_5[[#This Row],[Repeat]]</f>
        <v>14450688</v>
      </c>
      <c r="P11">
        <v>312</v>
      </c>
      <c r="Q11">
        <v>32</v>
      </c>
      <c r="R11">
        <v>192</v>
      </c>
      <c r="S11">
        <f t="shared" si="3"/>
        <v>3200000000</v>
      </c>
      <c r="T11">
        <f>표1_5[[#This Row],[tile_S]]*CEILING((표1_5[[#This Row],[tile_IC]]/8),1)</f>
        <v>1248</v>
      </c>
      <c r="U11">
        <f>표1_5[[#This Row],[tile_S]]*CEILING(표1_5[[#This Row],[tile_OC]]/4,1)</f>
        <v>14976</v>
      </c>
      <c r="V11">
        <f>표1_5[[#This Row],[tile_IC]]*CEILING((표1_5[[#This Row],[tile_OC]]/4),1)</f>
        <v>1536</v>
      </c>
      <c r="W11">
        <v>6.8981000000000001E-2</v>
      </c>
      <c r="X11">
        <v>4.7059999999999998E-2</v>
      </c>
      <c r="Y11">
        <f>표1_5[[#This Row],[MAC Count]]/표1_5[[#This Row],[CPU reference time(s)]]/1000000</f>
        <v>69.829315318710954</v>
      </c>
      <c r="Z11">
        <f>표1_5[[#This Row],[MAC Count]]/표1_5[[#This Row],[FPGA End-to-End time(s)]]/1000000</f>
        <v>102.35648108797281</v>
      </c>
      <c r="AA11">
        <f>(표1_5[[#This Row],[MAC Count]]/표1_5[[#This Row],[Run time(PL) (s)]])/표1_5[[#This Row],[Theoretical Peak MAC/s]]*100</f>
        <v>94.910466582597735</v>
      </c>
      <c r="AB11">
        <v>8.1399999999999997E-3</v>
      </c>
      <c r="AC11">
        <v>1.586E-3</v>
      </c>
      <c r="AD11">
        <v>6.4559999999999999E-3</v>
      </c>
      <c r="AE11">
        <v>9.7999999999999997E-5</v>
      </c>
      <c r="AF11">
        <f>표1_5[[#This Row],[Run time(PL) (s)]]/표1_5[[#This Row],[PL Active time (s)]]</f>
        <v>0.19484029484029483</v>
      </c>
      <c r="AG11">
        <f>표1_5[[#This Row],[DMA time (s)]]/표1_5[[#This Row],[PL Active time (s)]]</f>
        <v>0.79312039312039317</v>
      </c>
      <c r="AH11">
        <v>2.5099999999999998E-4</v>
      </c>
      <c r="AI11">
        <v>1.84E-4</v>
      </c>
      <c r="AJ11">
        <v>6.0210000000000003E-3</v>
      </c>
      <c r="AK11">
        <v>4.1121999999999999E-2</v>
      </c>
      <c r="AL11">
        <v>3.6840000000000002E-3</v>
      </c>
      <c r="AM11">
        <v>2.8041E-2</v>
      </c>
      <c r="AN11">
        <v>1.624E-3</v>
      </c>
      <c r="AO11">
        <v>7.7739999999999997E-3</v>
      </c>
      <c r="AP11">
        <f>표1_5[[#This Row],[Numpy Layout (s)]]/표1_5[[#This Row],[Host Run time (s)]]</f>
        <v>0.68189776761830656</v>
      </c>
      <c r="AQ11">
        <f>표1_5[[#This Row],[MMIO (s)]]/표1_5[[#This Row],[Host Run time (s)]]</f>
        <v>8.9587082340353105E-2</v>
      </c>
      <c r="AR11">
        <f>(표1_5[[#This Row],[DMA Send wait (s)]]+표1_5[[#This Row],[DMA Recv Wait (s)]])/표1_5[[#This Row],[Host Run time (s)]]</f>
        <v>0.22853946792471183</v>
      </c>
    </row>
    <row r="12" spans="1:44">
      <c r="A12" s="1"/>
      <c r="B12">
        <v>11</v>
      </c>
      <c r="C12" t="s">
        <v>12</v>
      </c>
      <c r="D12">
        <v>28</v>
      </c>
      <c r="E12">
        <v>28</v>
      </c>
      <c r="F12">
        <f t="shared" si="2"/>
        <v>784</v>
      </c>
      <c r="G12">
        <v>192</v>
      </c>
      <c r="H12">
        <v>32</v>
      </c>
      <c r="I12">
        <f t="shared" si="0"/>
        <v>4816896</v>
      </c>
      <c r="J12">
        <f>(4*(표1_5[[#This Row],[S]]*표1_5[[#This Row],[IC]])+4*(표1_5[[#This Row],[IC]]*표1_5[[#This Row],[OC]])+4*(표1_5[[#This Row],[S]]*표1_5[[#This Row],[OC]]))</f>
        <v>727040</v>
      </c>
      <c r="K12">
        <f>표1_5[[#This Row],[MAC Count]]/표1_5[[#This Row],[Memory Traffic]]</f>
        <v>6.6253521126760564</v>
      </c>
      <c r="L12">
        <f>표1_5[[#This Row],[CPU reference time(s)]]/표1_5[[#This Row],[FPGA End-to-End time(s)]]</f>
        <v>2.8782700504438279</v>
      </c>
      <c r="M12">
        <f>표1_5[[#This Row],[Memory Traffic]]/(표1_5[[#This Row],[ISRAM DMA (s)]]+표1_5[[#This Row],[WSRAM DMA (s)]]+표1_5[[#This Row],[PSRAM DMA (s)]])/1000000000</f>
        <v>0.28289494163424123</v>
      </c>
      <c r="N12">
        <f t="shared" si="1"/>
        <v>1</v>
      </c>
      <c r="O12">
        <f>표1_5[[#This Row],[MAC Count]]*표1_5[[#This Row],[Repeat]]</f>
        <v>4816896</v>
      </c>
      <c r="P12">
        <v>784</v>
      </c>
      <c r="Q12">
        <v>192</v>
      </c>
      <c r="R12">
        <v>32</v>
      </c>
      <c r="S12">
        <f t="shared" si="3"/>
        <v>3200000000</v>
      </c>
      <c r="T12">
        <f>표1_5[[#This Row],[tile_S]]*CEILING((표1_5[[#This Row],[tile_IC]]/8),1)</f>
        <v>18816</v>
      </c>
      <c r="U12">
        <f>표1_5[[#This Row],[tile_S]]*CEILING(표1_5[[#This Row],[tile_OC]]/4,1)</f>
        <v>6272</v>
      </c>
      <c r="V12">
        <f>표1_5[[#This Row],[tile_IC]]*CEILING((표1_5[[#This Row],[tile_OC]]/4),1)</f>
        <v>1536</v>
      </c>
      <c r="W12">
        <v>7.3606000000000005E-2</v>
      </c>
      <c r="X12">
        <v>2.5572999999999999E-2</v>
      </c>
      <c r="Y12">
        <f>표1_5[[#This Row],[MAC Count]]/표1_5[[#This Row],[CPU reference time(s)]]/1000000</f>
        <v>65.441621606934206</v>
      </c>
      <c r="Z12">
        <f>표1_5[[#This Row],[MAC Count]]/표1_5[[#This Row],[FPGA End-to-End time(s)]]/1000000</f>
        <v>188.35865952371643</v>
      </c>
      <c r="AA12">
        <f>(표1_5[[#This Row],[MAC Count]]/표1_5[[#This Row],[Run time(PL) (s)]])/표1_5[[#This Row],[Theoretical Peak MAC/s]]*100</f>
        <v>98.255874673629236</v>
      </c>
      <c r="AB12">
        <v>4.1349999999999998E-3</v>
      </c>
      <c r="AC12">
        <v>1.5319999999999999E-3</v>
      </c>
      <c r="AD12">
        <v>2.5699999999999998E-3</v>
      </c>
      <c r="AE12">
        <v>3.3000000000000003E-5</v>
      </c>
      <c r="AF12">
        <f>표1_5[[#This Row],[Run time(PL) (s)]]/표1_5[[#This Row],[PL Active time (s)]]</f>
        <v>0.37049576783555016</v>
      </c>
      <c r="AG12">
        <f>표1_5[[#This Row],[DMA time (s)]]/표1_5[[#This Row],[PL Active time (s)]]</f>
        <v>0.62152357920193468</v>
      </c>
      <c r="AH12">
        <v>1.505E-3</v>
      </c>
      <c r="AI12">
        <v>6.0999999999999999E-5</v>
      </c>
      <c r="AJ12">
        <v>1.0039999999999999E-3</v>
      </c>
      <c r="AK12">
        <v>1.8332999999999999E-2</v>
      </c>
      <c r="AL12">
        <v>1.4120000000000001E-3</v>
      </c>
      <c r="AM12">
        <v>1.2411E-2</v>
      </c>
      <c r="AN12">
        <v>1.9269999999999999E-3</v>
      </c>
      <c r="AO12">
        <v>2.5820000000000001E-3</v>
      </c>
      <c r="AP12">
        <f>표1_5[[#This Row],[Numpy Layout (s)]]/표1_5[[#This Row],[Host Run time (s)]]</f>
        <v>0.67697594501718217</v>
      </c>
      <c r="AQ12">
        <f>표1_5[[#This Row],[MMIO (s)]]/표1_5[[#This Row],[Host Run time (s)]]</f>
        <v>7.7019582174221363E-2</v>
      </c>
      <c r="AR12">
        <f>(표1_5[[#This Row],[DMA Send wait (s)]]+표1_5[[#This Row],[DMA Recv Wait (s)]])/표1_5[[#This Row],[Host Run time (s)]]</f>
        <v>0.24594992636229751</v>
      </c>
    </row>
    <row r="13" spans="1:44">
      <c r="A13" s="1">
        <v>4</v>
      </c>
      <c r="B13">
        <v>12</v>
      </c>
      <c r="C13" s="2" t="s">
        <v>13</v>
      </c>
      <c r="D13">
        <v>28</v>
      </c>
      <c r="E13">
        <v>28</v>
      </c>
      <c r="F13">
        <f t="shared" si="2"/>
        <v>784</v>
      </c>
      <c r="G13">
        <v>32</v>
      </c>
      <c r="H13">
        <v>192</v>
      </c>
      <c r="I13">
        <f t="shared" si="0"/>
        <v>4816896</v>
      </c>
      <c r="J13">
        <f>(4*(표1_5[[#This Row],[S]]*표1_5[[#This Row],[IC]])+4*(표1_5[[#This Row],[IC]]*표1_5[[#This Row],[OC]])+4*(표1_5[[#This Row],[S]]*표1_5[[#This Row],[OC]]))</f>
        <v>727040</v>
      </c>
      <c r="K13">
        <f>표1_5[[#This Row],[MAC Count]]/표1_5[[#This Row],[Memory Traffic]]</f>
        <v>6.6253521126760564</v>
      </c>
      <c r="L13">
        <f>표1_5[[#This Row],[CPU reference time(s)]]/표1_5[[#This Row],[FPGA End-to-End time(s)]]</f>
        <v>1.2685863054457192</v>
      </c>
      <c r="M13">
        <f>표1_5[[#This Row],[Memory Traffic]]/(표1_5[[#This Row],[ISRAM DMA (s)]]+표1_5[[#This Row],[WSRAM DMA (s)]]+표1_5[[#This Row],[PSRAM DMA (s)]])/1000000000</f>
        <v>0.11261462205700123</v>
      </c>
      <c r="N13">
        <f t="shared" si="1"/>
        <v>3</v>
      </c>
      <c r="O13">
        <f>표1_5[[#This Row],[MAC Count]]*표1_5[[#This Row],[Repeat]]</f>
        <v>14450688</v>
      </c>
      <c r="P13">
        <v>312</v>
      </c>
      <c r="Q13">
        <v>32</v>
      </c>
      <c r="R13">
        <v>192</v>
      </c>
      <c r="S13">
        <f t="shared" si="3"/>
        <v>3200000000</v>
      </c>
      <c r="T13">
        <f>표1_5[[#This Row],[tile_S]]*CEILING((표1_5[[#This Row],[tile_IC]]/8),1)</f>
        <v>1248</v>
      </c>
      <c r="U13">
        <f>표1_5[[#This Row],[tile_S]]*CEILING(표1_5[[#This Row],[tile_OC]]/4,1)</f>
        <v>14976</v>
      </c>
      <c r="V13">
        <f>표1_5[[#This Row],[tile_IC]]*CEILING((표1_5[[#This Row],[tile_OC]]/4),1)</f>
        <v>1536</v>
      </c>
      <c r="W13">
        <v>6.4807000000000003E-2</v>
      </c>
      <c r="X13">
        <v>5.1085999999999999E-2</v>
      </c>
      <c r="Y13">
        <f>표1_5[[#This Row],[MAC Count]]/표1_5[[#This Row],[CPU reference time(s)]]/1000000</f>
        <v>74.32678568673137</v>
      </c>
      <c r="Z13">
        <f>표1_5[[#This Row],[MAC Count]]/표1_5[[#This Row],[FPGA End-to-End time(s)]]/1000000</f>
        <v>94.289942449986299</v>
      </c>
      <c r="AA13">
        <f>(표1_5[[#This Row],[MAC Count]]/표1_5[[#This Row],[Run time(PL) (s)]])/표1_5[[#This Row],[Theoretical Peak MAC/s]]*100</f>
        <v>94.910466582597735</v>
      </c>
      <c r="AB13">
        <v>8.1399999999999997E-3</v>
      </c>
      <c r="AC13">
        <v>1.586E-3</v>
      </c>
      <c r="AD13">
        <v>6.4559999999999999E-3</v>
      </c>
      <c r="AE13">
        <v>9.7999999999999997E-5</v>
      </c>
      <c r="AF13">
        <f>표1_5[[#This Row],[Run time(PL) (s)]]/표1_5[[#This Row],[PL Active time (s)]]</f>
        <v>0.19484029484029483</v>
      </c>
      <c r="AG13">
        <f>표1_5[[#This Row],[DMA time (s)]]/표1_5[[#This Row],[PL Active time (s)]]</f>
        <v>0.79312039312039317</v>
      </c>
      <c r="AH13">
        <v>2.5099999999999998E-4</v>
      </c>
      <c r="AI13">
        <v>1.84E-4</v>
      </c>
      <c r="AJ13">
        <v>6.0210000000000003E-3</v>
      </c>
      <c r="AK13">
        <v>4.0003999999999998E-2</v>
      </c>
      <c r="AL13">
        <v>3.823E-3</v>
      </c>
      <c r="AM13">
        <v>2.6748000000000001E-2</v>
      </c>
      <c r="AN13">
        <v>1.668E-3</v>
      </c>
      <c r="AO13">
        <v>7.7640000000000001E-3</v>
      </c>
      <c r="AP13">
        <f>표1_5[[#This Row],[Numpy Layout (s)]]/표1_5[[#This Row],[Host Run time (s)]]</f>
        <v>0.6686331366863314</v>
      </c>
      <c r="AQ13">
        <f>표1_5[[#This Row],[MMIO (s)]]/표1_5[[#This Row],[Host Run time (s)]]</f>
        <v>9.5565443455654445E-2</v>
      </c>
      <c r="AR13">
        <f>(표1_5[[#This Row],[DMA Send wait (s)]]+표1_5[[#This Row],[DMA Recv Wait (s)]])/표1_5[[#This Row],[Host Run time (s)]]</f>
        <v>0.23577642235776422</v>
      </c>
    </row>
    <row r="14" spans="1:44">
      <c r="A14" s="1"/>
      <c r="B14">
        <v>13</v>
      </c>
      <c r="C14" s="2" t="s">
        <v>11</v>
      </c>
      <c r="D14">
        <v>14</v>
      </c>
      <c r="E14">
        <v>14</v>
      </c>
      <c r="F14">
        <f t="shared" si="2"/>
        <v>196</v>
      </c>
      <c r="G14">
        <v>192</v>
      </c>
      <c r="H14">
        <v>64</v>
      </c>
      <c r="I14">
        <f t="shared" si="0"/>
        <v>2408448</v>
      </c>
      <c r="J14">
        <f>(4*(표1_5[[#This Row],[S]]*표1_5[[#This Row],[IC]])+4*(표1_5[[#This Row],[IC]]*표1_5[[#This Row],[OC]])+4*(표1_5[[#This Row],[S]]*표1_5[[#This Row],[OC]]))</f>
        <v>249856</v>
      </c>
      <c r="K14">
        <f>표1_5[[#This Row],[MAC Count]]/표1_5[[#This Row],[Memory Traffic]]</f>
        <v>9.6393442622950811</v>
      </c>
      <c r="L14">
        <f>표1_5[[#This Row],[CPU reference time(s)]]/표1_5[[#This Row],[FPGA End-to-End time(s)]]</f>
        <v>2.2734593598580499</v>
      </c>
      <c r="M14">
        <f>표1_5[[#This Row],[Memory Traffic]]/(표1_5[[#This Row],[ISRAM DMA (s)]]+표1_5[[#This Row],[WSRAM DMA (s)]]+표1_5[[#This Row],[PSRAM DMA (s)]])/1000000000</f>
        <v>0.24960639360639364</v>
      </c>
      <c r="N14">
        <f t="shared" si="1"/>
        <v>1</v>
      </c>
      <c r="O14">
        <f>표1_5[[#This Row],[MAC Count]]*표1_5[[#This Row],[Repeat]]</f>
        <v>2408448</v>
      </c>
      <c r="P14">
        <v>196</v>
      </c>
      <c r="Q14">
        <v>192</v>
      </c>
      <c r="R14">
        <v>64</v>
      </c>
      <c r="S14">
        <f t="shared" si="3"/>
        <v>3200000000</v>
      </c>
      <c r="T14">
        <f>표1_5[[#This Row],[tile_S]]*CEILING((표1_5[[#This Row],[tile_IC]]/8),1)</f>
        <v>4704</v>
      </c>
      <c r="U14">
        <f>표1_5[[#This Row],[tile_S]]*CEILING(표1_5[[#This Row],[tile_OC]]/4,1)</f>
        <v>3136</v>
      </c>
      <c r="V14">
        <f>표1_5[[#This Row],[tile_IC]]*CEILING((표1_5[[#This Row],[tile_OC]]/4),1)</f>
        <v>3072</v>
      </c>
      <c r="W14">
        <v>3.3313000000000002E-2</v>
      </c>
      <c r="X14">
        <v>1.4652999999999999E-2</v>
      </c>
      <c r="Y14">
        <f>표1_5[[#This Row],[MAC Count]]/표1_5[[#This Row],[CPU reference time(s)]]/1000000</f>
        <v>72.297541500315191</v>
      </c>
      <c r="Z14">
        <f>표1_5[[#This Row],[MAC Count]]/표1_5[[#This Row],[FPGA End-to-End time(s)]]/1000000</f>
        <v>164.36552241861736</v>
      </c>
      <c r="AA14">
        <f>(표1_5[[#This Row],[MAC Count]]/표1_5[[#This Row],[Run time(PL) (s)]])/표1_5[[#This Row],[Theoretical Peak MAC/s]]*100</f>
        <v>93.379652605459057</v>
      </c>
      <c r="AB14">
        <v>1.8730000000000001E-3</v>
      </c>
      <c r="AC14">
        <v>8.0599999999999997E-4</v>
      </c>
      <c r="AD14">
        <v>1.0009999999999999E-3</v>
      </c>
      <c r="AE14">
        <v>6.4999999999999994E-5</v>
      </c>
      <c r="AF14">
        <f>표1_5[[#This Row],[Run time(PL) (s)]]/표1_5[[#This Row],[PL Active time (s)]]</f>
        <v>0.43032568072610783</v>
      </c>
      <c r="AG14">
        <f>표1_5[[#This Row],[DMA time (s)]]/표1_5[[#This Row],[PL Active time (s)]]</f>
        <v>0.53443673251468227</v>
      </c>
      <c r="AH14">
        <v>3.7599999999999998E-4</v>
      </c>
      <c r="AI14">
        <v>1.2300000000000001E-4</v>
      </c>
      <c r="AJ14">
        <v>5.0199999999999995E-4</v>
      </c>
      <c r="AK14">
        <v>8.9899999999999997E-3</v>
      </c>
      <c r="AL14">
        <v>1.3649999999999999E-3</v>
      </c>
      <c r="AM14">
        <v>5.2979999999999998E-3</v>
      </c>
      <c r="AN14">
        <v>9.3400000000000004E-4</v>
      </c>
      <c r="AO14">
        <v>1.3929999999999999E-3</v>
      </c>
      <c r="AP14">
        <f>표1_5[[#This Row],[Numpy Layout (s)]]/표1_5[[#This Row],[Host Run time (s)]]</f>
        <v>0.58932146829810905</v>
      </c>
      <c r="AQ14">
        <f>표1_5[[#This Row],[MMIO (s)]]/표1_5[[#This Row],[Host Run time (s)]]</f>
        <v>0.15183537263626251</v>
      </c>
      <c r="AR14">
        <f>(표1_5[[#This Row],[DMA Send wait (s)]]+표1_5[[#This Row],[DMA Recv Wait (s)]])/표1_5[[#This Row],[Host Run time (s)]]</f>
        <v>0.25884315906562849</v>
      </c>
    </row>
    <row r="15" spans="1:44">
      <c r="A15" s="1"/>
      <c r="B15">
        <v>14</v>
      </c>
      <c r="C15" s="2" t="s">
        <v>13</v>
      </c>
      <c r="D15">
        <v>14</v>
      </c>
      <c r="E15">
        <v>14</v>
      </c>
      <c r="F15">
        <f t="shared" si="2"/>
        <v>196</v>
      </c>
      <c r="G15">
        <v>64</v>
      </c>
      <c r="H15">
        <v>384</v>
      </c>
      <c r="I15">
        <f t="shared" si="0"/>
        <v>4816896</v>
      </c>
      <c r="J15">
        <f>(4*(표1_5[[#This Row],[S]]*표1_5[[#This Row],[IC]])+4*(표1_5[[#This Row],[IC]]*표1_5[[#This Row],[OC]])+4*(표1_5[[#This Row],[S]]*표1_5[[#This Row],[OC]]))</f>
        <v>449536</v>
      </c>
      <c r="K15">
        <f>표1_5[[#This Row],[MAC Count]]/표1_5[[#This Row],[Memory Traffic]]</f>
        <v>10.715261958997722</v>
      </c>
      <c r="L15">
        <f>표1_5[[#This Row],[CPU reference time(s)]]/표1_5[[#This Row],[FPGA End-to-End time(s)]]</f>
        <v>1.8019184500443206</v>
      </c>
      <c r="M15">
        <f>표1_5[[#This Row],[Memory Traffic]]/(표1_5[[#This Row],[ISRAM DMA (s)]]+표1_5[[#This Row],[WSRAM DMA (s)]]+표1_5[[#This Row],[PSRAM DMA (s)]])/1000000000</f>
        <v>0.12390738699007718</v>
      </c>
      <c r="N15">
        <f t="shared" si="1"/>
        <v>2</v>
      </c>
      <c r="O15">
        <f>표1_5[[#This Row],[MAC Count]]*표1_5[[#This Row],[Repeat]]</f>
        <v>9633792</v>
      </c>
      <c r="P15">
        <v>156</v>
      </c>
      <c r="Q15">
        <v>64</v>
      </c>
      <c r="R15">
        <v>384</v>
      </c>
      <c r="S15">
        <f t="shared" si="3"/>
        <v>3200000000</v>
      </c>
      <c r="T15">
        <f>표1_5[[#This Row],[tile_S]]*CEILING((표1_5[[#This Row],[tile_IC]]/8),1)</f>
        <v>1248</v>
      </c>
      <c r="U15">
        <f>표1_5[[#This Row],[tile_S]]*CEILING(표1_5[[#This Row],[tile_OC]]/4,1)</f>
        <v>14976</v>
      </c>
      <c r="V15">
        <f>표1_5[[#This Row],[tile_IC]]*CEILING((표1_5[[#This Row],[tile_OC]]/4),1)</f>
        <v>6144</v>
      </c>
      <c r="W15">
        <v>5.6918999999999997E-2</v>
      </c>
      <c r="X15">
        <v>3.1587999999999998E-2</v>
      </c>
      <c r="Y15">
        <f>표1_5[[#This Row],[MAC Count]]/표1_5[[#This Row],[CPU reference time(s)]]/1000000</f>
        <v>84.627207083750591</v>
      </c>
      <c r="Z15">
        <f>표1_5[[#This Row],[MAC Count]]/표1_5[[#This Row],[FPGA End-to-End time(s)]]/1000000</f>
        <v>152.49132581993163</v>
      </c>
      <c r="AA15">
        <f>(표1_5[[#This Row],[MAC Count]]/표1_5[[#This Row],[Run time(PL) (s)]])/표1_5[[#This Row],[Theoretical Peak MAC/s]]*100</f>
        <v>87.51627906976745</v>
      </c>
      <c r="AB15">
        <v>5.6090000000000003E-3</v>
      </c>
      <c r="AC15">
        <v>1.72E-3</v>
      </c>
      <c r="AD15">
        <v>3.6280000000000001E-3</v>
      </c>
      <c r="AE15">
        <v>2.61E-4</v>
      </c>
      <c r="AF15">
        <f>표1_5[[#This Row],[Run time(PL) (s)]]/표1_5[[#This Row],[PL Active time (s)]]</f>
        <v>0.30665002674273489</v>
      </c>
      <c r="AG15">
        <f>표1_5[[#This Row],[DMA time (s)]]/표1_5[[#This Row],[PL Active time (s)]]</f>
        <v>0.64681761454804776</v>
      </c>
      <c r="AH15">
        <v>1.25E-4</v>
      </c>
      <c r="AI15">
        <v>4.9200000000000003E-4</v>
      </c>
      <c r="AJ15">
        <v>3.0109999999999998E-3</v>
      </c>
      <c r="AK15">
        <v>2.5596000000000001E-2</v>
      </c>
      <c r="AL15">
        <v>2.5820000000000001E-3</v>
      </c>
      <c r="AM15">
        <v>1.6073E-2</v>
      </c>
      <c r="AN15">
        <v>1.92E-3</v>
      </c>
      <c r="AO15">
        <v>5.0210000000000003E-3</v>
      </c>
      <c r="AP15">
        <f>표1_5[[#This Row],[Numpy Layout (s)]]/표1_5[[#This Row],[Host Run time (s)]]</f>
        <v>0.6279496796374433</v>
      </c>
      <c r="AQ15">
        <f>표1_5[[#This Row],[MMIO (s)]]/표1_5[[#This Row],[Host Run time (s)]]</f>
        <v>0.10087513674011564</v>
      </c>
      <c r="AR15">
        <f>(표1_5[[#This Row],[DMA Send wait (s)]]+표1_5[[#This Row],[DMA Recv Wait (s)]])/표1_5[[#This Row],[Host Run time (s)]]</f>
        <v>0.27117518362244103</v>
      </c>
    </row>
    <row r="16" spans="1:44">
      <c r="A16" s="1"/>
      <c r="B16">
        <v>15</v>
      </c>
      <c r="C16" s="2" t="s">
        <v>11</v>
      </c>
      <c r="D16">
        <v>14</v>
      </c>
      <c r="E16">
        <v>14</v>
      </c>
      <c r="F16">
        <f t="shared" si="2"/>
        <v>196</v>
      </c>
      <c r="G16">
        <v>384</v>
      </c>
      <c r="H16">
        <v>64</v>
      </c>
      <c r="I16">
        <f t="shared" si="0"/>
        <v>4816896</v>
      </c>
      <c r="J16">
        <f>(4*(표1_5[[#This Row],[S]]*표1_5[[#This Row],[IC]])+4*(표1_5[[#This Row],[IC]]*표1_5[[#This Row],[OC]])+4*(표1_5[[#This Row],[S]]*표1_5[[#This Row],[OC]]))</f>
        <v>449536</v>
      </c>
      <c r="K16">
        <f>표1_5[[#This Row],[MAC Count]]/표1_5[[#This Row],[Memory Traffic]]</f>
        <v>10.715261958997722</v>
      </c>
      <c r="L16">
        <f>표1_5[[#This Row],[CPU reference time(s)]]/표1_5[[#This Row],[FPGA End-to-End time(s)]]</f>
        <v>3.2918848874250854</v>
      </c>
      <c r="M16">
        <f>표1_5[[#This Row],[Memory Traffic]]/(표1_5[[#This Row],[ISRAM DMA (s)]]+표1_5[[#This Row],[WSRAM DMA (s)]]+표1_5[[#This Row],[PSRAM DMA (s)]])/1000000000</f>
        <v>0.29949100599600276</v>
      </c>
      <c r="N16">
        <f t="shared" si="1"/>
        <v>1</v>
      </c>
      <c r="O16">
        <f>표1_5[[#This Row],[MAC Count]]*표1_5[[#This Row],[Repeat]]</f>
        <v>4816896</v>
      </c>
      <c r="P16">
        <v>196</v>
      </c>
      <c r="Q16">
        <v>384</v>
      </c>
      <c r="R16">
        <v>64</v>
      </c>
      <c r="S16">
        <f t="shared" si="3"/>
        <v>3200000000</v>
      </c>
      <c r="T16">
        <f>표1_5[[#This Row],[tile_S]]*CEILING((표1_5[[#This Row],[tile_IC]]/8),1)</f>
        <v>9408</v>
      </c>
      <c r="U16">
        <f>표1_5[[#This Row],[tile_S]]*CEILING(표1_5[[#This Row],[tile_OC]]/4,1)</f>
        <v>3136</v>
      </c>
      <c r="V16">
        <f>표1_5[[#This Row],[tile_IC]]*CEILING((표1_5[[#This Row],[tile_OC]]/4),1)</f>
        <v>6144</v>
      </c>
      <c r="W16">
        <v>6.0969000000000002E-2</v>
      </c>
      <c r="X16">
        <v>1.8520999999999999E-2</v>
      </c>
      <c r="Y16">
        <f>표1_5[[#This Row],[MAC Count]]/표1_5[[#This Row],[CPU reference time(s)]]/1000000</f>
        <v>79.005658613393692</v>
      </c>
      <c r="Z16">
        <f>표1_5[[#This Row],[MAC Count]]/표1_5[[#This Row],[FPGA End-to-End time(s)]]/1000000</f>
        <v>260.07753361049618</v>
      </c>
      <c r="AA16">
        <f>(표1_5[[#This Row],[MAC Count]]/표1_5[[#This Row],[Run time(PL) (s)]])/표1_5[[#This Row],[Theoretical Peak MAC/s]]*100</f>
        <v>93.321760694358332</v>
      </c>
      <c r="AB16">
        <v>3.2439999999999999E-3</v>
      </c>
      <c r="AC16">
        <v>1.6130000000000001E-3</v>
      </c>
      <c r="AD16">
        <v>1.5E-3</v>
      </c>
      <c r="AE16">
        <v>1.3100000000000001E-4</v>
      </c>
      <c r="AF16">
        <f>표1_5[[#This Row],[Run time(PL) (s)]]/표1_5[[#This Row],[PL Active time (s)]]</f>
        <v>0.49722564734895197</v>
      </c>
      <c r="AG16">
        <f>표1_5[[#This Row],[DMA time (s)]]/표1_5[[#This Row],[PL Active time (s)]]</f>
        <v>0.46239210850801482</v>
      </c>
      <c r="AH16">
        <v>7.5299999999999998E-4</v>
      </c>
      <c r="AI16">
        <v>2.4600000000000002E-4</v>
      </c>
      <c r="AJ16">
        <v>5.0199999999999995E-4</v>
      </c>
      <c r="AK16">
        <v>1.2637000000000001E-2</v>
      </c>
      <c r="AL16">
        <v>1.3810000000000001E-3</v>
      </c>
      <c r="AM16">
        <v>7.6290000000000004E-3</v>
      </c>
      <c r="AN16">
        <v>1.3600000000000001E-3</v>
      </c>
      <c r="AO16">
        <v>2.2669999999999999E-3</v>
      </c>
      <c r="AP16">
        <f>표1_5[[#This Row],[Numpy Layout (s)]]/표1_5[[#This Row],[Host Run time (s)]]</f>
        <v>0.60370341061960908</v>
      </c>
      <c r="AQ16">
        <f>표1_5[[#This Row],[MMIO (s)]]/표1_5[[#This Row],[Host Run time (s)]]</f>
        <v>0.10928226636068687</v>
      </c>
      <c r="AR16">
        <f>(표1_5[[#This Row],[DMA Send wait (s)]]+표1_5[[#This Row],[DMA Recv Wait (s)]])/표1_5[[#This Row],[Host Run time (s)]]</f>
        <v>0.28701432301970403</v>
      </c>
    </row>
    <row r="17" spans="1:44">
      <c r="A17" s="1"/>
      <c r="B17">
        <v>16</v>
      </c>
      <c r="C17" s="2" t="s">
        <v>13</v>
      </c>
      <c r="D17">
        <v>14</v>
      </c>
      <c r="E17">
        <v>14</v>
      </c>
      <c r="F17">
        <f t="shared" si="2"/>
        <v>196</v>
      </c>
      <c r="G17">
        <v>64</v>
      </c>
      <c r="H17">
        <v>384</v>
      </c>
      <c r="I17">
        <f t="shared" si="0"/>
        <v>4816896</v>
      </c>
      <c r="J17">
        <f>(4*(표1_5[[#This Row],[S]]*표1_5[[#This Row],[IC]])+4*(표1_5[[#This Row],[IC]]*표1_5[[#This Row],[OC]])+4*(표1_5[[#This Row],[S]]*표1_5[[#This Row],[OC]]))</f>
        <v>449536</v>
      </c>
      <c r="K17">
        <f>표1_5[[#This Row],[MAC Count]]/표1_5[[#This Row],[Memory Traffic]]</f>
        <v>10.715261958997722</v>
      </c>
      <c r="L17">
        <f>표1_5[[#This Row],[CPU reference time(s)]]/표1_5[[#This Row],[FPGA End-to-End time(s)]]</f>
        <v>1.7466440158555678</v>
      </c>
      <c r="M17">
        <f>표1_5[[#This Row],[Memory Traffic]]/(표1_5[[#This Row],[ISRAM DMA (s)]]+표1_5[[#This Row],[WSRAM DMA (s)]]+표1_5[[#This Row],[PSRAM DMA (s)]])/1000000000</f>
        <v>0.12390738699007718</v>
      </c>
      <c r="N17">
        <f t="shared" si="1"/>
        <v>2</v>
      </c>
      <c r="O17">
        <f>표1_5[[#This Row],[MAC Count]]*표1_5[[#This Row],[Repeat]]</f>
        <v>9633792</v>
      </c>
      <c r="P17">
        <v>156</v>
      </c>
      <c r="Q17">
        <v>64</v>
      </c>
      <c r="R17">
        <v>384</v>
      </c>
      <c r="S17">
        <f t="shared" si="3"/>
        <v>3200000000</v>
      </c>
      <c r="T17">
        <f>표1_5[[#This Row],[tile_S]]*CEILING((표1_5[[#This Row],[tile_IC]]/8),1)</f>
        <v>1248</v>
      </c>
      <c r="U17">
        <f>표1_5[[#This Row],[tile_S]]*CEILING(표1_5[[#This Row],[tile_OC]]/4,1)</f>
        <v>14976</v>
      </c>
      <c r="V17">
        <f>표1_5[[#This Row],[tile_IC]]*CEILING((표1_5[[#This Row],[tile_OC]]/4),1)</f>
        <v>6144</v>
      </c>
      <c r="W17">
        <v>5.2436000000000003E-2</v>
      </c>
      <c r="X17">
        <v>3.0020999999999999E-2</v>
      </c>
      <c r="Y17">
        <f>표1_5[[#This Row],[MAC Count]]/표1_5[[#This Row],[CPU reference time(s)]]/1000000</f>
        <v>91.862384621252573</v>
      </c>
      <c r="Z17">
        <f>표1_5[[#This Row],[MAC Count]]/표1_5[[#This Row],[FPGA End-to-End time(s)]]/1000000</f>
        <v>160.45088438093333</v>
      </c>
      <c r="AA17">
        <f>(표1_5[[#This Row],[MAC Count]]/표1_5[[#This Row],[Run time(PL) (s)]])/표1_5[[#This Row],[Theoretical Peak MAC/s]]*100</f>
        <v>87.51627906976745</v>
      </c>
      <c r="AB17">
        <v>5.6090000000000003E-3</v>
      </c>
      <c r="AC17">
        <v>1.72E-3</v>
      </c>
      <c r="AD17">
        <v>3.6280000000000001E-3</v>
      </c>
      <c r="AE17">
        <v>2.61E-4</v>
      </c>
      <c r="AF17">
        <f>표1_5[[#This Row],[Run time(PL) (s)]]/표1_5[[#This Row],[PL Active time (s)]]</f>
        <v>0.30665002674273489</v>
      </c>
      <c r="AG17">
        <f>표1_5[[#This Row],[DMA time (s)]]/표1_5[[#This Row],[PL Active time (s)]]</f>
        <v>0.64681761454804776</v>
      </c>
      <c r="AH17">
        <v>1.25E-4</v>
      </c>
      <c r="AI17">
        <v>4.9200000000000003E-4</v>
      </c>
      <c r="AJ17">
        <v>3.0109999999999998E-3</v>
      </c>
      <c r="AK17">
        <v>2.4351000000000001E-2</v>
      </c>
      <c r="AL17">
        <v>2.6819999999999999E-3</v>
      </c>
      <c r="AM17">
        <v>1.5089999999999999E-2</v>
      </c>
      <c r="AN17">
        <v>1.4959999999999999E-3</v>
      </c>
      <c r="AO17">
        <v>5.0829999999999998E-3</v>
      </c>
      <c r="AP17">
        <f>표1_5[[#This Row],[Numpy Layout (s)]]/표1_5[[#This Row],[Host Run time (s)]]</f>
        <v>0.61968707650609822</v>
      </c>
      <c r="AQ17">
        <f>표1_5[[#This Row],[MMIO (s)]]/표1_5[[#This Row],[Host Run time (s)]]</f>
        <v>0.11013921399531845</v>
      </c>
      <c r="AR17">
        <f>(표1_5[[#This Row],[DMA Send wait (s)]]+표1_5[[#This Row],[DMA Recv Wait (s)]])/표1_5[[#This Row],[Host Run time (s)]]</f>
        <v>0.27017370949858321</v>
      </c>
    </row>
    <row r="18" spans="1:44">
      <c r="A18" s="1"/>
      <c r="B18">
        <v>17</v>
      </c>
      <c r="C18" s="2" t="s">
        <v>11</v>
      </c>
      <c r="D18">
        <v>14</v>
      </c>
      <c r="E18">
        <v>14</v>
      </c>
      <c r="F18">
        <f t="shared" si="2"/>
        <v>196</v>
      </c>
      <c r="G18">
        <v>384</v>
      </c>
      <c r="H18">
        <v>64</v>
      </c>
      <c r="I18">
        <f t="shared" si="0"/>
        <v>4816896</v>
      </c>
      <c r="J18">
        <f>(4*(표1_5[[#This Row],[S]]*표1_5[[#This Row],[IC]])+4*(표1_5[[#This Row],[IC]]*표1_5[[#This Row],[OC]])+4*(표1_5[[#This Row],[S]]*표1_5[[#This Row],[OC]]))</f>
        <v>449536</v>
      </c>
      <c r="K18">
        <f>표1_5[[#This Row],[MAC Count]]/표1_5[[#This Row],[Memory Traffic]]</f>
        <v>10.715261958997722</v>
      </c>
      <c r="L18">
        <f>표1_5[[#This Row],[CPU reference time(s)]]/표1_5[[#This Row],[FPGA End-to-End time(s)]]</f>
        <v>3.3646677471636948</v>
      </c>
      <c r="M18">
        <f>표1_5[[#This Row],[Memory Traffic]]/(표1_5[[#This Row],[ISRAM DMA (s)]]+표1_5[[#This Row],[WSRAM DMA (s)]]+표1_5[[#This Row],[PSRAM DMA (s)]])/1000000000</f>
        <v>0.29949100599600276</v>
      </c>
      <c r="N18">
        <f t="shared" si="1"/>
        <v>1</v>
      </c>
      <c r="O18">
        <f>표1_5[[#This Row],[MAC Count]]*표1_5[[#This Row],[Repeat]]</f>
        <v>4816896</v>
      </c>
      <c r="P18">
        <v>196</v>
      </c>
      <c r="Q18">
        <v>384</v>
      </c>
      <c r="R18">
        <v>64</v>
      </c>
      <c r="S18">
        <f t="shared" si="3"/>
        <v>3200000000</v>
      </c>
      <c r="T18">
        <f>표1_5[[#This Row],[tile_S]]*CEILING((표1_5[[#This Row],[tile_IC]]/8),1)</f>
        <v>9408</v>
      </c>
      <c r="U18">
        <f>표1_5[[#This Row],[tile_S]]*CEILING(표1_5[[#This Row],[tile_OC]]/4,1)</f>
        <v>3136</v>
      </c>
      <c r="V18">
        <f>표1_5[[#This Row],[tile_IC]]*CEILING((표1_5[[#This Row],[tile_OC]]/4),1)</f>
        <v>6144</v>
      </c>
      <c r="W18">
        <v>6.4355999999999997E-2</v>
      </c>
      <c r="X18">
        <v>1.9127000000000002E-2</v>
      </c>
      <c r="Y18">
        <f>표1_5[[#This Row],[MAC Count]]/표1_5[[#This Row],[CPU reference time(s)]]/1000000</f>
        <v>74.847659891851578</v>
      </c>
      <c r="Z18">
        <f>표1_5[[#This Row],[MAC Count]]/표1_5[[#This Row],[FPGA End-to-End time(s)]]/1000000</f>
        <v>251.83750718879068</v>
      </c>
      <c r="AA18">
        <f>(표1_5[[#This Row],[MAC Count]]/표1_5[[#This Row],[Run time(PL) (s)]])/표1_5[[#This Row],[Theoretical Peak MAC/s]]*100</f>
        <v>93.321760694358332</v>
      </c>
      <c r="AB18">
        <v>3.2439999999999999E-3</v>
      </c>
      <c r="AC18">
        <v>1.6130000000000001E-3</v>
      </c>
      <c r="AD18">
        <v>1.5E-3</v>
      </c>
      <c r="AE18">
        <v>1.3100000000000001E-4</v>
      </c>
      <c r="AF18">
        <f>표1_5[[#This Row],[Run time(PL) (s)]]/표1_5[[#This Row],[PL Active time (s)]]</f>
        <v>0.49722564734895197</v>
      </c>
      <c r="AG18">
        <f>표1_5[[#This Row],[DMA time (s)]]/표1_5[[#This Row],[PL Active time (s)]]</f>
        <v>0.46239210850801482</v>
      </c>
      <c r="AH18">
        <v>7.5299999999999998E-4</v>
      </c>
      <c r="AI18">
        <v>2.4600000000000002E-4</v>
      </c>
      <c r="AJ18">
        <v>5.0199999999999995E-4</v>
      </c>
      <c r="AK18">
        <v>1.2718999999999999E-2</v>
      </c>
      <c r="AL18">
        <v>1.3860000000000001E-3</v>
      </c>
      <c r="AM18">
        <v>7.6969999999999998E-3</v>
      </c>
      <c r="AN18">
        <v>1.3760000000000001E-3</v>
      </c>
      <c r="AO18">
        <v>2.261E-3</v>
      </c>
      <c r="AP18">
        <f>표1_5[[#This Row],[Numpy Layout (s)]]/표1_5[[#This Row],[Host Run time (s)]]</f>
        <v>0.60515763817910218</v>
      </c>
      <c r="AQ18">
        <f>표1_5[[#This Row],[MMIO (s)]]/표1_5[[#This Row],[Host Run time (s)]]</f>
        <v>0.10897083104017613</v>
      </c>
      <c r="AR18">
        <f>(표1_5[[#This Row],[DMA Send wait (s)]]+표1_5[[#This Row],[DMA Recv Wait (s)]])/표1_5[[#This Row],[Host Run time (s)]]</f>
        <v>0.2859501533139398</v>
      </c>
    </row>
    <row r="19" spans="1:44">
      <c r="A19" s="1"/>
      <c r="B19">
        <v>18</v>
      </c>
      <c r="C19" s="2" t="s">
        <v>13</v>
      </c>
      <c r="D19">
        <v>14</v>
      </c>
      <c r="E19">
        <v>14</v>
      </c>
      <c r="F19">
        <f t="shared" si="2"/>
        <v>196</v>
      </c>
      <c r="G19">
        <v>64</v>
      </c>
      <c r="H19">
        <v>384</v>
      </c>
      <c r="I19">
        <f t="shared" si="0"/>
        <v>4816896</v>
      </c>
      <c r="J19">
        <f>(4*(표1_5[[#This Row],[S]]*표1_5[[#This Row],[IC]])+4*(표1_5[[#This Row],[IC]]*표1_5[[#This Row],[OC]])+4*(표1_5[[#This Row],[S]]*표1_5[[#This Row],[OC]]))</f>
        <v>449536</v>
      </c>
      <c r="K19">
        <f>표1_5[[#This Row],[MAC Count]]/표1_5[[#This Row],[Memory Traffic]]</f>
        <v>10.715261958997722</v>
      </c>
      <c r="L19">
        <f>표1_5[[#This Row],[CPU reference time(s)]]/표1_5[[#This Row],[FPGA End-to-End time(s)]]</f>
        <v>1.7788878797053183</v>
      </c>
      <c r="M19">
        <f>표1_5[[#This Row],[Memory Traffic]]/(표1_5[[#This Row],[ISRAM DMA (s)]]+표1_5[[#This Row],[WSRAM DMA (s)]]+표1_5[[#This Row],[PSRAM DMA (s)]])/1000000000</f>
        <v>0.12390738699007718</v>
      </c>
      <c r="N19">
        <f t="shared" si="1"/>
        <v>2</v>
      </c>
      <c r="O19">
        <f>표1_5[[#This Row],[MAC Count]]*표1_5[[#This Row],[Repeat]]</f>
        <v>9633792</v>
      </c>
      <c r="P19">
        <v>156</v>
      </c>
      <c r="Q19">
        <v>64</v>
      </c>
      <c r="R19">
        <v>384</v>
      </c>
      <c r="S19">
        <f t="shared" si="3"/>
        <v>3200000000</v>
      </c>
      <c r="T19">
        <f>표1_5[[#This Row],[tile_S]]*CEILING((표1_5[[#This Row],[tile_IC]]/8),1)</f>
        <v>1248</v>
      </c>
      <c r="U19">
        <f>표1_5[[#This Row],[tile_S]]*CEILING(표1_5[[#This Row],[tile_OC]]/4,1)</f>
        <v>14976</v>
      </c>
      <c r="V19">
        <f>표1_5[[#This Row],[tile_IC]]*CEILING((표1_5[[#This Row],[tile_OC]]/4),1)</f>
        <v>6144</v>
      </c>
      <c r="W19">
        <v>5.2880999999999997E-2</v>
      </c>
      <c r="X19">
        <v>2.9727E-2</v>
      </c>
      <c r="Y19">
        <f>표1_5[[#This Row],[MAC Count]]/표1_5[[#This Row],[CPU reference time(s)]]/1000000</f>
        <v>91.089351562943222</v>
      </c>
      <c r="Z19">
        <f>표1_5[[#This Row],[MAC Count]]/표1_5[[#This Row],[FPGA End-to-End time(s)]]/1000000</f>
        <v>162.03774346553638</v>
      </c>
      <c r="AA19">
        <f>(표1_5[[#This Row],[MAC Count]]/표1_5[[#This Row],[Run time(PL) (s)]])/표1_5[[#This Row],[Theoretical Peak MAC/s]]*100</f>
        <v>87.51627906976745</v>
      </c>
      <c r="AB19">
        <v>5.6090000000000003E-3</v>
      </c>
      <c r="AC19">
        <v>1.72E-3</v>
      </c>
      <c r="AD19">
        <v>3.6280000000000001E-3</v>
      </c>
      <c r="AE19">
        <v>2.61E-4</v>
      </c>
      <c r="AF19">
        <f>표1_5[[#This Row],[Run time(PL) (s)]]/표1_5[[#This Row],[PL Active time (s)]]</f>
        <v>0.30665002674273489</v>
      </c>
      <c r="AG19">
        <f>표1_5[[#This Row],[DMA time (s)]]/표1_5[[#This Row],[PL Active time (s)]]</f>
        <v>0.64681761454804776</v>
      </c>
      <c r="AH19">
        <v>1.25E-4</v>
      </c>
      <c r="AI19">
        <v>4.9200000000000003E-4</v>
      </c>
      <c r="AJ19">
        <v>3.0109999999999998E-3</v>
      </c>
      <c r="AK19">
        <v>2.4136999999999999E-2</v>
      </c>
      <c r="AL19">
        <v>2.545E-3</v>
      </c>
      <c r="AM19">
        <v>1.5061E-2</v>
      </c>
      <c r="AN19">
        <v>1.4959999999999999E-3</v>
      </c>
      <c r="AO19">
        <v>5.0340000000000003E-3</v>
      </c>
      <c r="AP19">
        <f>표1_5[[#This Row],[Numpy Layout (s)]]/표1_5[[#This Row],[Host Run time (s)]]</f>
        <v>0.62397978207730875</v>
      </c>
      <c r="AQ19">
        <f>표1_5[[#This Row],[MMIO (s)]]/표1_5[[#This Row],[Host Run time (s)]]</f>
        <v>0.10543978124870532</v>
      </c>
      <c r="AR19">
        <f>(표1_5[[#This Row],[DMA Send wait (s)]]+표1_5[[#This Row],[DMA Recv Wait (s)]])/표1_5[[#This Row],[Host Run time (s)]]</f>
        <v>0.27053900650453661</v>
      </c>
    </row>
    <row r="20" spans="1:44">
      <c r="A20" s="1"/>
      <c r="B20">
        <v>19</v>
      </c>
      <c r="C20" s="2" t="s">
        <v>11</v>
      </c>
      <c r="D20">
        <v>14</v>
      </c>
      <c r="E20">
        <v>14</v>
      </c>
      <c r="F20">
        <f t="shared" si="2"/>
        <v>196</v>
      </c>
      <c r="G20">
        <v>384</v>
      </c>
      <c r="H20">
        <v>64</v>
      </c>
      <c r="I20">
        <f t="shared" si="0"/>
        <v>4816896</v>
      </c>
      <c r="J20">
        <f>(4*(표1_5[[#This Row],[S]]*표1_5[[#This Row],[IC]])+4*(표1_5[[#This Row],[IC]]*표1_5[[#This Row],[OC]])+4*(표1_5[[#This Row],[S]]*표1_5[[#This Row],[OC]]))</f>
        <v>449536</v>
      </c>
      <c r="K20">
        <f>표1_5[[#This Row],[MAC Count]]/표1_5[[#This Row],[Memory Traffic]]</f>
        <v>10.715261958997722</v>
      </c>
      <c r="L20">
        <f>표1_5[[#This Row],[CPU reference time(s)]]/표1_5[[#This Row],[FPGA End-to-End time(s)]]</f>
        <v>3.1721390510022833</v>
      </c>
      <c r="M20">
        <f>표1_5[[#This Row],[Memory Traffic]]/(표1_5[[#This Row],[ISRAM DMA (s)]]+표1_5[[#This Row],[WSRAM DMA (s)]]+표1_5[[#This Row],[PSRAM DMA (s)]])/1000000000</f>
        <v>0.29949100599600276</v>
      </c>
      <c r="N20">
        <f t="shared" si="1"/>
        <v>1</v>
      </c>
      <c r="O20">
        <f>표1_5[[#This Row],[MAC Count]]*표1_5[[#This Row],[Repeat]]</f>
        <v>4816896</v>
      </c>
      <c r="P20">
        <v>196</v>
      </c>
      <c r="Q20">
        <v>384</v>
      </c>
      <c r="R20">
        <v>64</v>
      </c>
      <c r="S20">
        <f t="shared" si="3"/>
        <v>3200000000</v>
      </c>
      <c r="T20">
        <f>표1_5[[#This Row],[tile_S]]*CEILING((표1_5[[#This Row],[tile_IC]]/8),1)</f>
        <v>9408</v>
      </c>
      <c r="U20">
        <f>표1_5[[#This Row],[tile_S]]*CEILING(표1_5[[#This Row],[tile_OC]]/4,1)</f>
        <v>3136</v>
      </c>
      <c r="V20">
        <f>표1_5[[#This Row],[tile_IC]]*CEILING((표1_5[[#This Row],[tile_OC]]/4),1)</f>
        <v>6144</v>
      </c>
      <c r="W20">
        <v>6.2506999999999993E-2</v>
      </c>
      <c r="X20">
        <v>1.9705E-2</v>
      </c>
      <c r="Y20">
        <f>표1_5[[#This Row],[MAC Count]]/표1_5[[#This Row],[CPU reference time(s)]]/1000000</f>
        <v>77.061705089030042</v>
      </c>
      <c r="Z20">
        <f>표1_5[[#This Row],[MAC Count]]/표1_5[[#This Row],[FPGA End-to-End time(s)]]/1000000</f>
        <v>244.45044404973359</v>
      </c>
      <c r="AA20">
        <f>(표1_5[[#This Row],[MAC Count]]/표1_5[[#This Row],[Run time(PL) (s)]])/표1_5[[#This Row],[Theoretical Peak MAC/s]]*100</f>
        <v>93.321760694358332</v>
      </c>
      <c r="AB20">
        <v>3.2439999999999999E-3</v>
      </c>
      <c r="AC20">
        <v>1.6130000000000001E-3</v>
      </c>
      <c r="AD20">
        <v>1.5E-3</v>
      </c>
      <c r="AE20">
        <v>1.3100000000000001E-4</v>
      </c>
      <c r="AF20">
        <f>표1_5[[#This Row],[Run time(PL) (s)]]/표1_5[[#This Row],[PL Active time (s)]]</f>
        <v>0.49722564734895197</v>
      </c>
      <c r="AG20">
        <f>표1_5[[#This Row],[DMA time (s)]]/표1_5[[#This Row],[PL Active time (s)]]</f>
        <v>0.46239210850801482</v>
      </c>
      <c r="AH20">
        <v>7.5299999999999998E-4</v>
      </c>
      <c r="AI20">
        <v>2.4600000000000002E-4</v>
      </c>
      <c r="AJ20">
        <v>5.0199999999999995E-4</v>
      </c>
      <c r="AK20">
        <v>1.2571000000000001E-2</v>
      </c>
      <c r="AL20">
        <v>1.3929999999999999E-3</v>
      </c>
      <c r="AM20">
        <v>7.5519999999999997E-3</v>
      </c>
      <c r="AN20">
        <v>1.3669999999999999E-3</v>
      </c>
      <c r="AO20">
        <v>2.2590000000000002E-3</v>
      </c>
      <c r="AP20">
        <f>표1_5[[#This Row],[Numpy Layout (s)]]/표1_5[[#This Row],[Host Run time (s)]]</f>
        <v>0.6007477527642987</v>
      </c>
      <c r="AQ20">
        <f>표1_5[[#This Row],[MMIO (s)]]/표1_5[[#This Row],[Host Run time (s)]]</f>
        <v>0.11081059581576644</v>
      </c>
      <c r="AR20">
        <f>(표1_5[[#This Row],[DMA Send wait (s)]]+표1_5[[#This Row],[DMA Recv Wait (s)]])/표1_5[[#This Row],[Host Run time (s)]]</f>
        <v>0.28844165141993477</v>
      </c>
    </row>
    <row r="21" spans="1:44">
      <c r="A21" s="1">
        <v>5</v>
      </c>
      <c r="B21">
        <v>20</v>
      </c>
      <c r="C21" s="2" t="s">
        <v>13</v>
      </c>
      <c r="D21">
        <v>14</v>
      </c>
      <c r="E21">
        <v>14</v>
      </c>
      <c r="F21">
        <f t="shared" si="2"/>
        <v>196</v>
      </c>
      <c r="G21">
        <v>64</v>
      </c>
      <c r="H21">
        <v>384</v>
      </c>
      <c r="I21">
        <f t="shared" si="0"/>
        <v>4816896</v>
      </c>
      <c r="J21">
        <f>(4*(표1_5[[#This Row],[S]]*표1_5[[#This Row],[IC]])+4*(표1_5[[#This Row],[IC]]*표1_5[[#This Row],[OC]])+4*(표1_5[[#This Row],[S]]*표1_5[[#This Row],[OC]]))</f>
        <v>449536</v>
      </c>
      <c r="K21">
        <f>표1_5[[#This Row],[MAC Count]]/표1_5[[#This Row],[Memory Traffic]]</f>
        <v>10.715261958997722</v>
      </c>
      <c r="L21">
        <f>표1_5[[#This Row],[CPU reference time(s)]]/표1_5[[#This Row],[FPGA End-to-End time(s)]]</f>
        <v>1.7743803879310345</v>
      </c>
      <c r="M21">
        <f>표1_5[[#This Row],[Memory Traffic]]/(표1_5[[#This Row],[ISRAM DMA (s)]]+표1_5[[#This Row],[WSRAM DMA (s)]]+표1_5[[#This Row],[PSRAM DMA (s)]])/1000000000</f>
        <v>0.12390738699007718</v>
      </c>
      <c r="N21">
        <f t="shared" si="1"/>
        <v>2</v>
      </c>
      <c r="O21">
        <f>표1_5[[#This Row],[MAC Count]]*표1_5[[#This Row],[Repeat]]</f>
        <v>9633792</v>
      </c>
      <c r="P21">
        <v>156</v>
      </c>
      <c r="Q21">
        <v>64</v>
      </c>
      <c r="R21">
        <v>384</v>
      </c>
      <c r="S21">
        <f t="shared" si="3"/>
        <v>3200000000</v>
      </c>
      <c r="T21">
        <f>표1_5[[#This Row],[tile_S]]*CEILING((표1_5[[#This Row],[tile_IC]]/8),1)</f>
        <v>1248</v>
      </c>
      <c r="U21">
        <f>표1_5[[#This Row],[tile_S]]*CEILING(표1_5[[#This Row],[tile_OC]]/4,1)</f>
        <v>14976</v>
      </c>
      <c r="V21">
        <f>표1_5[[#This Row],[tile_IC]]*CEILING((표1_5[[#This Row],[tile_OC]]/4),1)</f>
        <v>6144</v>
      </c>
      <c r="W21">
        <v>5.2692000000000003E-2</v>
      </c>
      <c r="X21">
        <v>2.9696E-2</v>
      </c>
      <c r="Y21">
        <f>표1_5[[#This Row],[MAC Count]]/표1_5[[#This Row],[CPU reference time(s)]]/1000000</f>
        <v>91.416078342063301</v>
      </c>
      <c r="Z21">
        <f>표1_5[[#This Row],[MAC Count]]/표1_5[[#This Row],[FPGA End-to-End time(s)]]/1000000</f>
        <v>162.20689655172413</v>
      </c>
      <c r="AA21">
        <f>(표1_5[[#This Row],[MAC Count]]/표1_5[[#This Row],[Run time(PL) (s)]])/표1_5[[#This Row],[Theoretical Peak MAC/s]]*100</f>
        <v>92.918518518518525</v>
      </c>
      <c r="AB21">
        <v>5.6090000000000003E-3</v>
      </c>
      <c r="AC21">
        <v>1.6199999999999999E-3</v>
      </c>
      <c r="AD21">
        <v>3.6280000000000001E-3</v>
      </c>
      <c r="AE21">
        <v>2.61E-4</v>
      </c>
      <c r="AF21">
        <f>표1_5[[#This Row],[Run time(PL) (s)]]/표1_5[[#This Row],[PL Active time (s)]]</f>
        <v>0.28882153681583167</v>
      </c>
      <c r="AG21">
        <f>표1_5[[#This Row],[DMA time (s)]]/표1_5[[#This Row],[PL Active time (s)]]</f>
        <v>0.64681761454804776</v>
      </c>
      <c r="AH21">
        <v>1.25E-4</v>
      </c>
      <c r="AI21">
        <v>4.9200000000000003E-4</v>
      </c>
      <c r="AJ21">
        <v>3.0109999999999998E-3</v>
      </c>
      <c r="AK21">
        <v>2.4131E-2</v>
      </c>
      <c r="AL21">
        <v>2.5560000000000001E-3</v>
      </c>
      <c r="AM21">
        <v>1.5043000000000001E-2</v>
      </c>
      <c r="AN21">
        <v>1.503E-3</v>
      </c>
      <c r="AO21">
        <v>5.0289999999999996E-3</v>
      </c>
      <c r="AP21">
        <f>표1_5[[#This Row],[Numpy Layout (s)]]/표1_5[[#This Row],[Host Run time (s)]]</f>
        <v>0.62338900169905931</v>
      </c>
      <c r="AQ21">
        <f>표1_5[[#This Row],[MMIO (s)]]/표1_5[[#This Row],[Host Run time (s)]]</f>
        <v>0.10592184327213958</v>
      </c>
      <c r="AR21">
        <f>(표1_5[[#This Row],[DMA Send wait (s)]]+표1_5[[#This Row],[DMA Recv Wait (s)]])/표1_5[[#This Row],[Host Run time (s)]]</f>
        <v>0.27068915502880109</v>
      </c>
    </row>
    <row r="22" spans="1:44">
      <c r="A22" s="1"/>
      <c r="B22">
        <v>21</v>
      </c>
      <c r="C22" s="2" t="s">
        <v>11</v>
      </c>
      <c r="D22">
        <v>14</v>
      </c>
      <c r="E22">
        <v>14</v>
      </c>
      <c r="F22">
        <f t="shared" si="2"/>
        <v>196</v>
      </c>
      <c r="G22">
        <v>384</v>
      </c>
      <c r="H22">
        <v>96</v>
      </c>
      <c r="I22">
        <f t="shared" si="0"/>
        <v>7225344</v>
      </c>
      <c r="J22">
        <f>(4*(표1_5[[#This Row],[S]]*표1_5[[#This Row],[IC]])+4*(표1_5[[#This Row],[IC]]*표1_5[[#This Row],[OC]])+4*(표1_5[[#This Row],[S]]*표1_5[[#This Row],[OC]]))</f>
        <v>523776</v>
      </c>
      <c r="K22">
        <f>표1_5[[#This Row],[MAC Count]]/표1_5[[#This Row],[Memory Traffic]]</f>
        <v>13.794721407624634</v>
      </c>
      <c r="L22">
        <f>표1_5[[#This Row],[CPU reference time(s)]]/표1_5[[#This Row],[FPGA End-to-End time(s)]]</f>
        <v>3.2734698207276973</v>
      </c>
      <c r="M22">
        <f>표1_5[[#This Row],[Memory Traffic]]/(표1_5[[#This Row],[ISRAM DMA (s)]]+표1_5[[#This Row],[WSRAM DMA (s)]]+표1_5[[#This Row],[PSRAM DMA (s)]])/1000000000</f>
        <v>0.23351582701738741</v>
      </c>
      <c r="N22">
        <f t="shared" si="1"/>
        <v>2</v>
      </c>
      <c r="O22">
        <f>표1_5[[#This Row],[MAC Count]]*표1_5[[#This Row],[Repeat]]</f>
        <v>14450688</v>
      </c>
      <c r="P22">
        <v>156</v>
      </c>
      <c r="Q22">
        <v>384</v>
      </c>
      <c r="R22">
        <v>96</v>
      </c>
      <c r="S22">
        <f t="shared" si="3"/>
        <v>3200000000</v>
      </c>
      <c r="T22">
        <f>표1_5[[#This Row],[tile_S]]*CEILING((표1_5[[#This Row],[tile_IC]]/8),1)</f>
        <v>7488</v>
      </c>
      <c r="U22">
        <f>표1_5[[#This Row],[tile_S]]*CEILING(표1_5[[#This Row],[tile_OC]]/4,1)</f>
        <v>3744</v>
      </c>
      <c r="V22">
        <f>표1_5[[#This Row],[tile_IC]]*CEILING((표1_5[[#This Row],[tile_OC]]/4),1)</f>
        <v>9216</v>
      </c>
      <c r="W22">
        <v>9.2577000000000007E-2</v>
      </c>
      <c r="X22">
        <v>2.8281000000000001E-2</v>
      </c>
      <c r="Y22">
        <f>표1_5[[#This Row],[MAC Count]]/표1_5[[#This Row],[CPU reference time(s)]]/1000000</f>
        <v>78.046858290936186</v>
      </c>
      <c r="Z22">
        <f>표1_5[[#This Row],[MAC Count]]/표1_5[[#This Row],[FPGA End-to-End time(s)]]/1000000</f>
        <v>255.48403521799088</v>
      </c>
      <c r="AA22">
        <f>(표1_5[[#This Row],[MAC Count]]/표1_5[[#This Row],[Run time(PL) (s)]])/표1_5[[#This Row],[Theoretical Peak MAC/s]]*100</f>
        <v>87.51627906976745</v>
      </c>
      <c r="AB22">
        <v>5.215E-3</v>
      </c>
      <c r="AC22">
        <v>2.5799999999999998E-3</v>
      </c>
      <c r="AD22">
        <v>2.2430000000000002E-3</v>
      </c>
      <c r="AE22">
        <v>3.9199999999999999E-4</v>
      </c>
      <c r="AF22">
        <f>표1_5[[#This Row],[Run time(PL) (s)]]/표1_5[[#This Row],[PL Active time (s)]]</f>
        <v>0.49472674976030678</v>
      </c>
      <c r="AG22">
        <f>표1_5[[#This Row],[DMA time (s)]]/표1_5[[#This Row],[PL Active time (s)]]</f>
        <v>0.43010546500479391</v>
      </c>
      <c r="AH22">
        <v>7.5299999999999998E-4</v>
      </c>
      <c r="AI22">
        <v>7.3700000000000002E-4</v>
      </c>
      <c r="AJ22">
        <v>7.5299999999999998E-4</v>
      </c>
      <c r="AK22">
        <v>2.1336999999999998E-2</v>
      </c>
      <c r="AL22">
        <v>2.7420000000000001E-3</v>
      </c>
      <c r="AM22">
        <v>1.2648E-2</v>
      </c>
      <c r="AN22">
        <v>2.1970000000000002E-3</v>
      </c>
      <c r="AO22">
        <v>3.751E-3</v>
      </c>
      <c r="AP22">
        <f>표1_5[[#This Row],[Numpy Layout (s)]]/표1_5[[#This Row],[Host Run time (s)]]</f>
        <v>0.59277311712049496</v>
      </c>
      <c r="AQ22">
        <f>표1_5[[#This Row],[MMIO (s)]]/표1_5[[#This Row],[Host Run time (s)]]</f>
        <v>0.12850916248769745</v>
      </c>
      <c r="AR22">
        <f>(표1_5[[#This Row],[DMA Send wait (s)]]+표1_5[[#This Row],[DMA Recv Wait (s)]])/표1_5[[#This Row],[Host Run time (s)]]</f>
        <v>0.27876458733655157</v>
      </c>
    </row>
    <row r="23" spans="1:44">
      <c r="A23" s="1"/>
      <c r="B23">
        <v>22</v>
      </c>
      <c r="C23" s="2" t="s">
        <v>13</v>
      </c>
      <c r="D23">
        <v>14</v>
      </c>
      <c r="E23">
        <v>14</v>
      </c>
      <c r="F23">
        <f t="shared" si="2"/>
        <v>196</v>
      </c>
      <c r="G23">
        <v>96</v>
      </c>
      <c r="H23">
        <v>576</v>
      </c>
      <c r="I23">
        <f t="shared" si="0"/>
        <v>10838016</v>
      </c>
      <c r="J23">
        <f>(4*(표1_5[[#This Row],[S]]*표1_5[[#This Row],[IC]])+4*(표1_5[[#This Row],[IC]]*표1_5[[#This Row],[OC]])+4*(표1_5[[#This Row],[S]]*표1_5[[#This Row],[OC]]))</f>
        <v>748032</v>
      </c>
      <c r="K23">
        <f>표1_5[[#This Row],[MAC Count]]/표1_5[[#This Row],[Memory Traffic]]</f>
        <v>14.488706365503081</v>
      </c>
      <c r="L23">
        <f>표1_5[[#This Row],[CPU reference time(s)]]/표1_5[[#This Row],[FPGA End-to-End time(s)]]</f>
        <v>3.0315784512419288</v>
      </c>
      <c r="M23">
        <f>표1_5[[#This Row],[Memory Traffic]]/(표1_5[[#This Row],[ISRAM DMA (s)]]+표1_5[[#This Row],[WSRAM DMA (s)]]+표1_5[[#This Row],[PSRAM DMA (s)]])/1000000000</f>
        <v>0.12874905335628226</v>
      </c>
      <c r="N23">
        <f t="shared" si="1"/>
        <v>2</v>
      </c>
      <c r="O23">
        <f>표1_5[[#This Row],[MAC Count]]*표1_5[[#This Row],[Repeat]]</f>
        <v>21676032</v>
      </c>
      <c r="P23">
        <v>104</v>
      </c>
      <c r="Q23">
        <v>96</v>
      </c>
      <c r="R23">
        <v>576</v>
      </c>
      <c r="S23">
        <f t="shared" si="3"/>
        <v>3200000000</v>
      </c>
      <c r="T23">
        <f>표1_5[[#This Row],[tile_S]]*CEILING((표1_5[[#This Row],[tile_IC]]/8),1)</f>
        <v>1248</v>
      </c>
      <c r="U23">
        <f>표1_5[[#This Row],[tile_S]]*CEILING(표1_5[[#This Row],[tile_OC]]/4,1)</f>
        <v>14976</v>
      </c>
      <c r="V23">
        <f>표1_5[[#This Row],[tile_IC]]*CEILING((표1_5[[#This Row],[tile_OC]]/4),1)</f>
        <v>13824</v>
      </c>
      <c r="W23">
        <v>0.12864200000000001</v>
      </c>
      <c r="X23">
        <v>4.2433999999999999E-2</v>
      </c>
      <c r="Y23">
        <f>표1_5[[#This Row],[MAC Count]]/표1_5[[#This Row],[CPU reference time(s)]]/1000000</f>
        <v>84.249436420453648</v>
      </c>
      <c r="Z23">
        <f>표1_5[[#This Row],[MAC Count]]/표1_5[[#This Row],[FPGA End-to-End time(s)]]/1000000</f>
        <v>255.40877598152426</v>
      </c>
      <c r="AA23">
        <f>(표1_5[[#This Row],[MAC Count]]/표1_5[[#This Row],[Run time(PL) (s)]])/표1_5[[#This Row],[Theoretical Peak MAC/s]]*100</f>
        <v>87.493670886075961</v>
      </c>
      <c r="AB23">
        <v>1.0267999999999999E-2</v>
      </c>
      <c r="AC23">
        <v>3.8709999999999999E-3</v>
      </c>
      <c r="AD23">
        <v>5.8100000000000001E-3</v>
      </c>
      <c r="AE23">
        <v>5.8799999999999998E-4</v>
      </c>
      <c r="AF23">
        <f>표1_5[[#This Row],[Run time(PL) (s)]]/표1_5[[#This Row],[PL Active time (s)]]</f>
        <v>0.37699649396182316</v>
      </c>
      <c r="AG23">
        <f>표1_5[[#This Row],[DMA time (s)]]/표1_5[[#This Row],[PL Active time (s)]]</f>
        <v>0.56583560576548508</v>
      </c>
      <c r="AH23">
        <v>1.8799999999999999E-4</v>
      </c>
      <c r="AI23">
        <v>1.106E-3</v>
      </c>
      <c r="AJ23">
        <v>4.516E-3</v>
      </c>
      <c r="AK23">
        <v>3.6582999999999997E-2</v>
      </c>
      <c r="AL23">
        <v>2.5709999999999999E-3</v>
      </c>
      <c r="AM23">
        <v>2.2832000000000002E-2</v>
      </c>
      <c r="AN23">
        <v>2.1589999999999999E-3</v>
      </c>
      <c r="AO23">
        <v>9.0200000000000002E-3</v>
      </c>
      <c r="AP23">
        <f>표1_5[[#This Row],[Numpy Layout (s)]]/표1_5[[#This Row],[Host Run time (s)]]</f>
        <v>0.62411502610502156</v>
      </c>
      <c r="AQ23">
        <f>표1_5[[#This Row],[MMIO (s)]]/표1_5[[#This Row],[Host Run time (s)]]</f>
        <v>7.0278544679222593E-2</v>
      </c>
      <c r="AR23">
        <f>(표1_5[[#This Row],[DMA Send wait (s)]]+표1_5[[#This Row],[DMA Recv Wait (s)]])/표1_5[[#This Row],[Host Run time (s)]]</f>
        <v>0.30557909411475276</v>
      </c>
    </row>
    <row r="24" spans="1:44">
      <c r="A24" s="1"/>
      <c r="B24">
        <v>23</v>
      </c>
      <c r="C24" s="2" t="s">
        <v>11</v>
      </c>
      <c r="D24">
        <v>14</v>
      </c>
      <c r="E24">
        <v>14</v>
      </c>
      <c r="F24">
        <f t="shared" si="2"/>
        <v>196</v>
      </c>
      <c r="G24">
        <v>576</v>
      </c>
      <c r="H24">
        <v>96</v>
      </c>
      <c r="I24">
        <f t="shared" si="0"/>
        <v>10838016</v>
      </c>
      <c r="J24">
        <f>(4*(표1_5[[#This Row],[S]]*표1_5[[#This Row],[IC]])+4*(표1_5[[#This Row],[IC]]*표1_5[[#This Row],[OC]])+4*(표1_5[[#This Row],[S]]*표1_5[[#This Row],[OC]]))</f>
        <v>748032</v>
      </c>
      <c r="K24">
        <f>표1_5[[#This Row],[MAC Count]]/표1_5[[#This Row],[Memory Traffic]]</f>
        <v>14.488706365503081</v>
      </c>
      <c r="L24">
        <f>표1_5[[#This Row],[CPU reference time(s)]]/표1_5[[#This Row],[FPGA End-to-End time(s)]]</f>
        <v>4.9673228067690998</v>
      </c>
      <c r="M24">
        <f>표1_5[[#This Row],[Memory Traffic]]/(표1_5[[#This Row],[ISRAM DMA (s)]]+표1_5[[#This Row],[WSRAM DMA (s)]]+표1_5[[#This Row],[PSRAM DMA (s)]])/1000000000</f>
        <v>0.30720000000000008</v>
      </c>
      <c r="N24">
        <f t="shared" si="1"/>
        <v>1</v>
      </c>
      <c r="O24">
        <f>표1_5[[#This Row],[MAC Count]]*표1_5[[#This Row],[Repeat]]</f>
        <v>10838016</v>
      </c>
      <c r="P24">
        <v>196</v>
      </c>
      <c r="Q24">
        <v>576</v>
      </c>
      <c r="R24">
        <v>96</v>
      </c>
      <c r="S24">
        <f t="shared" si="3"/>
        <v>3200000000</v>
      </c>
      <c r="T24">
        <f>표1_5[[#This Row],[tile_S]]*CEILING((표1_5[[#This Row],[tile_IC]]/8),1)</f>
        <v>14112</v>
      </c>
      <c r="U24">
        <f>표1_5[[#This Row],[tile_S]]*CEILING(표1_5[[#This Row],[tile_OC]]/4,1)</f>
        <v>4704</v>
      </c>
      <c r="V24">
        <f>표1_5[[#This Row],[tile_IC]]*CEILING((표1_5[[#This Row],[tile_OC]]/4),1)</f>
        <v>13824</v>
      </c>
      <c r="W24">
        <v>0.14030699999999999</v>
      </c>
      <c r="X24">
        <v>2.8246E-2</v>
      </c>
      <c r="Y24">
        <f>표1_5[[#This Row],[MAC Count]]/표1_5[[#This Row],[CPU reference time(s)]]/1000000</f>
        <v>77.24501272210226</v>
      </c>
      <c r="Z24">
        <f>표1_5[[#This Row],[MAC Count]]/표1_5[[#This Row],[FPGA End-to-End time(s)]]/1000000</f>
        <v>383.70091340366776</v>
      </c>
      <c r="AA24">
        <f>(표1_5[[#This Row],[MAC Count]]/표1_5[[#This Row],[Run time(PL) (s)]])/표1_5[[#This Row],[Theoretical Peak MAC/s]]*100</f>
        <v>93.328189583907402</v>
      </c>
      <c r="AB24">
        <v>6.3569999999999998E-3</v>
      </c>
      <c r="AC24">
        <v>3.6289999999999998E-3</v>
      </c>
      <c r="AD24">
        <v>2.4350000000000001E-3</v>
      </c>
      <c r="AE24">
        <v>2.9399999999999999E-4</v>
      </c>
      <c r="AF24">
        <f>표1_5[[#This Row],[Run time(PL) (s)]]/표1_5[[#This Row],[PL Active time (s)]]</f>
        <v>0.57086676105081013</v>
      </c>
      <c r="AG24">
        <f>표1_5[[#This Row],[DMA time (s)]]/표1_5[[#This Row],[PL Active time (s)]]</f>
        <v>0.383042315557653</v>
      </c>
      <c r="AH24">
        <v>1.129E-3</v>
      </c>
      <c r="AI24">
        <v>5.53E-4</v>
      </c>
      <c r="AJ24">
        <v>7.5299999999999998E-4</v>
      </c>
      <c r="AK24">
        <v>1.9991999999999999E-2</v>
      </c>
      <c r="AL24">
        <v>1.4250000000000001E-3</v>
      </c>
      <c r="AM24">
        <v>1.1812E-2</v>
      </c>
      <c r="AN24">
        <v>2.0530000000000001E-3</v>
      </c>
      <c r="AO24">
        <v>4.7010000000000003E-3</v>
      </c>
      <c r="AP24">
        <f>표1_5[[#This Row],[Numpy Layout (s)]]/표1_5[[#This Row],[Host Run time (s)]]</f>
        <v>0.59083633453381357</v>
      </c>
      <c r="AQ24">
        <f>표1_5[[#This Row],[MMIO (s)]]/표1_5[[#This Row],[Host Run time (s)]]</f>
        <v>7.1278511404561831E-2</v>
      </c>
      <c r="AR24">
        <f>(표1_5[[#This Row],[DMA Send wait (s)]]+표1_5[[#This Row],[DMA Recv Wait (s)]])/표1_5[[#This Row],[Host Run time (s)]]</f>
        <v>0.33783513405362148</v>
      </c>
    </row>
    <row r="25" spans="1:44">
      <c r="A25" s="1"/>
      <c r="B25">
        <v>24</v>
      </c>
      <c r="C25" s="2" t="s">
        <v>13</v>
      </c>
      <c r="D25">
        <v>14</v>
      </c>
      <c r="E25">
        <v>14</v>
      </c>
      <c r="F25">
        <f t="shared" si="2"/>
        <v>196</v>
      </c>
      <c r="G25">
        <v>96</v>
      </c>
      <c r="H25">
        <v>576</v>
      </c>
      <c r="I25">
        <f t="shared" si="0"/>
        <v>10838016</v>
      </c>
      <c r="J25">
        <f>(4*(표1_5[[#This Row],[S]]*표1_5[[#This Row],[IC]])+4*(표1_5[[#This Row],[IC]]*표1_5[[#This Row],[OC]])+4*(표1_5[[#This Row],[S]]*표1_5[[#This Row],[OC]]))</f>
        <v>748032</v>
      </c>
      <c r="K25">
        <f>표1_5[[#This Row],[MAC Count]]/표1_5[[#This Row],[Memory Traffic]]</f>
        <v>14.488706365503081</v>
      </c>
      <c r="L25">
        <f>표1_5[[#This Row],[CPU reference time(s)]]/표1_5[[#This Row],[FPGA End-to-End time(s)]]</f>
        <v>2.9400941973504096</v>
      </c>
      <c r="M25">
        <f>표1_5[[#This Row],[Memory Traffic]]/(표1_5[[#This Row],[ISRAM DMA (s)]]+표1_5[[#This Row],[WSRAM DMA (s)]]+표1_5[[#This Row],[PSRAM DMA (s)]])/1000000000</f>
        <v>0.12874905335628226</v>
      </c>
      <c r="N25">
        <f t="shared" si="1"/>
        <v>2</v>
      </c>
      <c r="O25">
        <f>표1_5[[#This Row],[MAC Count]]*표1_5[[#This Row],[Repeat]]</f>
        <v>21676032</v>
      </c>
      <c r="P25">
        <v>104</v>
      </c>
      <c r="Q25">
        <v>96</v>
      </c>
      <c r="R25">
        <v>576</v>
      </c>
      <c r="S25">
        <f t="shared" si="3"/>
        <v>3200000000</v>
      </c>
      <c r="T25">
        <f>표1_5[[#This Row],[tile_S]]*CEILING((표1_5[[#This Row],[tile_IC]]/8),1)</f>
        <v>1248</v>
      </c>
      <c r="U25">
        <f>표1_5[[#This Row],[tile_S]]*CEILING(표1_5[[#This Row],[tile_OC]]/4,1)</f>
        <v>14976</v>
      </c>
      <c r="V25">
        <f>표1_5[[#This Row],[tile_IC]]*CEILING((표1_5[[#This Row],[tile_OC]]/4),1)</f>
        <v>13824</v>
      </c>
      <c r="W25">
        <v>0.126721</v>
      </c>
      <c r="X25">
        <v>4.3101E-2</v>
      </c>
      <c r="Y25">
        <f>표1_5[[#This Row],[MAC Count]]/표1_5[[#This Row],[CPU reference time(s)]]/1000000</f>
        <v>85.526597801469364</v>
      </c>
      <c r="Z25">
        <f>표1_5[[#This Row],[MAC Count]]/표1_5[[#This Row],[FPGA End-to-End time(s)]]/1000000</f>
        <v>251.45625391522239</v>
      </c>
      <c r="AA25">
        <f>(표1_5[[#This Row],[MAC Count]]/표1_5[[#This Row],[Run time(PL) (s)]])/표1_5[[#This Row],[Theoretical Peak MAC/s]]*100</f>
        <v>87.493670886075961</v>
      </c>
      <c r="AB25">
        <v>1.0267999999999999E-2</v>
      </c>
      <c r="AC25">
        <v>3.8709999999999999E-3</v>
      </c>
      <c r="AD25">
        <v>5.8100000000000001E-3</v>
      </c>
      <c r="AE25">
        <v>5.8799999999999998E-4</v>
      </c>
      <c r="AF25">
        <f>표1_5[[#This Row],[Run time(PL) (s)]]/표1_5[[#This Row],[PL Active time (s)]]</f>
        <v>0.37699649396182316</v>
      </c>
      <c r="AG25">
        <f>표1_5[[#This Row],[DMA time (s)]]/표1_5[[#This Row],[PL Active time (s)]]</f>
        <v>0.56583560576548508</v>
      </c>
      <c r="AH25">
        <v>1.8799999999999999E-4</v>
      </c>
      <c r="AI25">
        <v>1.106E-3</v>
      </c>
      <c r="AJ25">
        <v>4.516E-3</v>
      </c>
      <c r="AK25">
        <v>3.6755000000000003E-2</v>
      </c>
      <c r="AL25">
        <v>2.588E-3</v>
      </c>
      <c r="AM25">
        <v>2.2981999999999999E-2</v>
      </c>
      <c r="AN25">
        <v>2.1800000000000001E-3</v>
      </c>
      <c r="AO25">
        <v>9.0039999999999999E-3</v>
      </c>
      <c r="AP25">
        <f>표1_5[[#This Row],[Numpy Layout (s)]]/표1_5[[#This Row],[Host Run time (s)]]</f>
        <v>0.62527547272479922</v>
      </c>
      <c r="AQ25">
        <f>표1_5[[#This Row],[MMIO (s)]]/표1_5[[#This Row],[Host Run time (s)]]</f>
        <v>7.0412188817847901E-2</v>
      </c>
      <c r="AR25">
        <f>(표1_5[[#This Row],[DMA Send wait (s)]]+표1_5[[#This Row],[DMA Recv Wait (s)]])/표1_5[[#This Row],[Host Run time (s)]]</f>
        <v>0.30428513127465645</v>
      </c>
    </row>
    <row r="26" spans="1:44">
      <c r="A26" s="1"/>
      <c r="B26">
        <v>25</v>
      </c>
      <c r="C26" s="2" t="s">
        <v>11</v>
      </c>
      <c r="D26">
        <v>14</v>
      </c>
      <c r="E26">
        <v>14</v>
      </c>
      <c r="F26">
        <f t="shared" si="2"/>
        <v>196</v>
      </c>
      <c r="G26">
        <v>576</v>
      </c>
      <c r="H26">
        <v>96</v>
      </c>
      <c r="I26">
        <f t="shared" si="0"/>
        <v>10838016</v>
      </c>
      <c r="J26">
        <f>(4*(표1_5[[#This Row],[S]]*표1_5[[#This Row],[IC]])+4*(표1_5[[#This Row],[IC]]*표1_5[[#This Row],[OC]])+4*(표1_5[[#This Row],[S]]*표1_5[[#This Row],[OC]]))</f>
        <v>748032</v>
      </c>
      <c r="K26">
        <f>표1_5[[#This Row],[MAC Count]]/표1_5[[#This Row],[Memory Traffic]]</f>
        <v>14.488706365503081</v>
      </c>
      <c r="L26">
        <f>표1_5[[#This Row],[CPU reference time(s)]]/표1_5[[#This Row],[FPGA End-to-End time(s)]]</f>
        <v>4.7912539515279242</v>
      </c>
      <c r="M26">
        <f>표1_5[[#This Row],[Memory Traffic]]/(표1_5[[#This Row],[ISRAM DMA (s)]]+표1_5[[#This Row],[WSRAM DMA (s)]]+표1_5[[#This Row],[PSRAM DMA (s)]])/1000000000</f>
        <v>0.30720000000000008</v>
      </c>
      <c r="N26">
        <f t="shared" si="1"/>
        <v>1</v>
      </c>
      <c r="O26">
        <f>표1_5[[#This Row],[MAC Count]]*표1_5[[#This Row],[Repeat]]</f>
        <v>10838016</v>
      </c>
      <c r="P26">
        <v>196</v>
      </c>
      <c r="Q26">
        <v>576</v>
      </c>
      <c r="R26">
        <v>96</v>
      </c>
      <c r="S26">
        <f t="shared" si="3"/>
        <v>3200000000</v>
      </c>
      <c r="T26">
        <f>표1_5[[#This Row],[tile_S]]*CEILING((표1_5[[#This Row],[tile_IC]]/8),1)</f>
        <v>14112</v>
      </c>
      <c r="U26">
        <f>표1_5[[#This Row],[tile_S]]*CEILING(표1_5[[#This Row],[tile_OC]]/4,1)</f>
        <v>4704</v>
      </c>
      <c r="V26">
        <f>표1_5[[#This Row],[tile_IC]]*CEILING((표1_5[[#This Row],[tile_OC]]/4),1)</f>
        <v>13824</v>
      </c>
      <c r="W26">
        <v>0.136407</v>
      </c>
      <c r="X26">
        <v>2.8469999999999999E-2</v>
      </c>
      <c r="Y26">
        <f>표1_5[[#This Row],[MAC Count]]/표1_5[[#This Row],[CPU reference time(s)]]/1000000</f>
        <v>79.453517781345525</v>
      </c>
      <c r="Z26">
        <f>표1_5[[#This Row],[MAC Count]]/표1_5[[#This Row],[FPGA End-to-End time(s)]]/1000000</f>
        <v>380.68198103266599</v>
      </c>
      <c r="AA26">
        <f>(표1_5[[#This Row],[MAC Count]]/표1_5[[#This Row],[Run time(PL) (s)]])/표1_5[[#This Row],[Theoretical Peak MAC/s]]*100</f>
        <v>93.328189583907402</v>
      </c>
      <c r="AB26">
        <v>6.3569999999999998E-3</v>
      </c>
      <c r="AC26">
        <v>3.6289999999999998E-3</v>
      </c>
      <c r="AD26">
        <v>2.4350000000000001E-3</v>
      </c>
      <c r="AE26">
        <v>2.9399999999999999E-4</v>
      </c>
      <c r="AF26">
        <f>표1_5[[#This Row],[Run time(PL) (s)]]/표1_5[[#This Row],[PL Active time (s)]]</f>
        <v>0.57086676105081013</v>
      </c>
      <c r="AG26">
        <f>표1_5[[#This Row],[DMA time (s)]]/표1_5[[#This Row],[PL Active time (s)]]</f>
        <v>0.383042315557653</v>
      </c>
      <c r="AH26">
        <v>1.129E-3</v>
      </c>
      <c r="AI26">
        <v>5.53E-4</v>
      </c>
      <c r="AJ26">
        <v>7.5299999999999998E-4</v>
      </c>
      <c r="AK26">
        <v>1.9921999999999999E-2</v>
      </c>
      <c r="AL26">
        <v>1.4220000000000001E-3</v>
      </c>
      <c r="AM26">
        <v>1.1764E-2</v>
      </c>
      <c r="AN26">
        <v>2.0509999999999999E-3</v>
      </c>
      <c r="AO26">
        <v>4.6849999999999999E-3</v>
      </c>
      <c r="AP26">
        <f>표1_5[[#This Row],[Numpy Layout (s)]]/표1_5[[#This Row],[Host Run time (s)]]</f>
        <v>0.59050296155004522</v>
      </c>
      <c r="AQ26">
        <f>표1_5[[#This Row],[MMIO (s)]]/표1_5[[#This Row],[Host Run time (s)]]</f>
        <v>7.1378375665093877E-2</v>
      </c>
      <c r="AR26">
        <f>(표1_5[[#This Row],[DMA Send wait (s)]]+표1_5[[#This Row],[DMA Recv Wait (s)]])/표1_5[[#This Row],[Host Run time (s)]]</f>
        <v>0.33811866278486097</v>
      </c>
    </row>
    <row r="27" spans="1:44">
      <c r="A27" s="1">
        <v>6</v>
      </c>
      <c r="B27">
        <v>26</v>
      </c>
      <c r="C27" s="2" t="s">
        <v>13</v>
      </c>
      <c r="D27">
        <v>14</v>
      </c>
      <c r="E27">
        <v>14</v>
      </c>
      <c r="F27">
        <f t="shared" si="2"/>
        <v>196</v>
      </c>
      <c r="G27">
        <v>96</v>
      </c>
      <c r="H27">
        <v>576</v>
      </c>
      <c r="I27">
        <f t="shared" si="0"/>
        <v>10838016</v>
      </c>
      <c r="J27">
        <f>(4*(표1_5[[#This Row],[S]]*표1_5[[#This Row],[IC]])+4*(표1_5[[#This Row],[IC]]*표1_5[[#This Row],[OC]])+4*(표1_5[[#This Row],[S]]*표1_5[[#This Row],[OC]]))</f>
        <v>748032</v>
      </c>
      <c r="K27">
        <f>표1_5[[#This Row],[MAC Count]]/표1_5[[#This Row],[Memory Traffic]]</f>
        <v>14.488706365503081</v>
      </c>
      <c r="L27">
        <f>표1_5[[#This Row],[CPU reference time(s)]]/표1_5[[#This Row],[FPGA End-to-End time(s)]]</f>
        <v>3.0013138138138133</v>
      </c>
      <c r="M27">
        <f>표1_5[[#This Row],[Memory Traffic]]/(표1_5[[#This Row],[ISRAM DMA (s)]]+표1_5[[#This Row],[WSRAM DMA (s)]]+표1_5[[#This Row],[PSRAM DMA (s)]])/1000000000</f>
        <v>0.12874905335628226</v>
      </c>
      <c r="N27">
        <f t="shared" si="1"/>
        <v>2</v>
      </c>
      <c r="O27">
        <f>표1_5[[#This Row],[MAC Count]]*표1_5[[#This Row],[Repeat]]</f>
        <v>21676032</v>
      </c>
      <c r="P27">
        <v>104</v>
      </c>
      <c r="Q27">
        <v>96</v>
      </c>
      <c r="R27">
        <v>576</v>
      </c>
      <c r="S27">
        <f t="shared" si="3"/>
        <v>3200000000</v>
      </c>
      <c r="T27">
        <f>표1_5[[#This Row],[tile_S]]*CEILING((표1_5[[#This Row],[tile_IC]]/8),1)</f>
        <v>1248</v>
      </c>
      <c r="U27">
        <f>표1_5[[#This Row],[tile_S]]*CEILING(표1_5[[#This Row],[tile_OC]]/4,1)</f>
        <v>14976</v>
      </c>
      <c r="V27">
        <f>표1_5[[#This Row],[tile_IC]]*CEILING((표1_5[[#This Row],[tile_OC]]/4),1)</f>
        <v>13824</v>
      </c>
      <c r="W27">
        <v>0.12792799999999999</v>
      </c>
      <c r="X27">
        <v>4.2624000000000002E-2</v>
      </c>
      <c r="Y27">
        <f>표1_5[[#This Row],[MAC Count]]/표1_5[[#This Row],[CPU reference time(s)]]/1000000</f>
        <v>84.719654805828284</v>
      </c>
      <c r="Z27">
        <f>표1_5[[#This Row],[MAC Count]]/표1_5[[#This Row],[FPGA End-to-End time(s)]]/1000000</f>
        <v>254.27027027027026</v>
      </c>
      <c r="AA27">
        <f>(표1_5[[#This Row],[MAC Count]]/표1_5[[#This Row],[Run time(PL) (s)]])/표1_5[[#This Row],[Theoretical Peak MAC/s]]*100</f>
        <v>87.493670886075961</v>
      </c>
      <c r="AB27">
        <v>1.0267999999999999E-2</v>
      </c>
      <c r="AC27">
        <v>3.8709999999999999E-3</v>
      </c>
      <c r="AD27">
        <v>5.8100000000000001E-3</v>
      </c>
      <c r="AE27">
        <v>5.8799999999999998E-4</v>
      </c>
      <c r="AF27">
        <f>표1_5[[#This Row],[Run time(PL) (s)]]/표1_5[[#This Row],[PL Active time (s)]]</f>
        <v>0.37699649396182316</v>
      </c>
      <c r="AG27">
        <f>표1_5[[#This Row],[DMA time (s)]]/표1_5[[#This Row],[PL Active time (s)]]</f>
        <v>0.56583560576548508</v>
      </c>
      <c r="AH27">
        <v>1.8799999999999999E-4</v>
      </c>
      <c r="AI27">
        <v>1.106E-3</v>
      </c>
      <c r="AJ27">
        <v>4.516E-3</v>
      </c>
      <c r="AK27">
        <v>3.6847999999999999E-2</v>
      </c>
      <c r="AL27">
        <v>2.6800000000000001E-3</v>
      </c>
      <c r="AM27">
        <v>2.2901000000000001E-2</v>
      </c>
      <c r="AN27">
        <v>2.2560000000000002E-3</v>
      </c>
      <c r="AO27">
        <v>9.0109999999999999E-3</v>
      </c>
      <c r="AP27">
        <f>표1_5[[#This Row],[Numpy Layout (s)]]/표1_5[[#This Row],[Host Run time (s)]]</f>
        <v>0.62149913156752068</v>
      </c>
      <c r="AQ27">
        <f>표1_5[[#This Row],[MMIO (s)]]/표1_5[[#This Row],[Host Run time (s)]]</f>
        <v>7.273122014763353E-2</v>
      </c>
      <c r="AR27">
        <f>(표1_5[[#This Row],[DMA Send wait (s)]]+표1_5[[#This Row],[DMA Recv Wait (s)]])/표1_5[[#This Row],[Host Run time (s)]]</f>
        <v>0.30576964828484582</v>
      </c>
    </row>
    <row r="28" spans="1:44">
      <c r="A28" s="1"/>
      <c r="B28">
        <v>27</v>
      </c>
      <c r="C28" s="2" t="s">
        <v>11</v>
      </c>
      <c r="D28">
        <v>7</v>
      </c>
      <c r="E28">
        <v>7</v>
      </c>
      <c r="F28">
        <f t="shared" si="2"/>
        <v>49</v>
      </c>
      <c r="G28">
        <v>576</v>
      </c>
      <c r="H28">
        <v>160</v>
      </c>
      <c r="I28">
        <f t="shared" si="0"/>
        <v>4515840</v>
      </c>
      <c r="J28">
        <f>(4*(표1_5[[#This Row],[S]]*표1_5[[#This Row],[IC]])+4*(표1_5[[#This Row],[IC]]*표1_5[[#This Row],[OC]])+4*(표1_5[[#This Row],[S]]*표1_5[[#This Row],[OC]]))</f>
        <v>512896</v>
      </c>
      <c r="K28">
        <f>표1_5[[#This Row],[MAC Count]]/표1_5[[#This Row],[Memory Traffic]]</f>
        <v>8.8045919640628902</v>
      </c>
      <c r="L28">
        <f>표1_5[[#This Row],[CPU reference time(s)]]/표1_5[[#This Row],[FPGA End-to-End time(s)]]</f>
        <v>3.0191623864085342</v>
      </c>
      <c r="M28">
        <f>표1_5[[#This Row],[Memory Traffic]]/(표1_5[[#This Row],[ISRAM DMA (s)]]+표1_5[[#This Row],[WSRAM DMA (s)]]+표1_5[[#This Row],[PSRAM DMA (s)]])/1000000000</f>
        <v>0.33787615283267458</v>
      </c>
      <c r="N28">
        <f t="shared" si="1"/>
        <v>1</v>
      </c>
      <c r="O28">
        <f>표1_5[[#This Row],[MAC Count]]*표1_5[[#This Row],[Repeat]]</f>
        <v>4515840</v>
      </c>
      <c r="P28">
        <v>49</v>
      </c>
      <c r="Q28">
        <v>576</v>
      </c>
      <c r="R28">
        <v>160</v>
      </c>
      <c r="S28">
        <f t="shared" si="3"/>
        <v>3200000000</v>
      </c>
      <c r="T28">
        <f>표1_5[[#This Row],[tile_S]]*CEILING((표1_5[[#This Row],[tile_IC]]/8),1)</f>
        <v>3528</v>
      </c>
      <c r="U28">
        <f>표1_5[[#This Row],[tile_S]]*CEILING(표1_5[[#This Row],[tile_OC]]/4,1)</f>
        <v>1960</v>
      </c>
      <c r="V28">
        <f>표1_5[[#This Row],[tile_IC]]*CEILING((표1_5[[#This Row],[tile_OC]]/4),1)</f>
        <v>23040</v>
      </c>
      <c r="W28">
        <v>6.1131999999999999E-2</v>
      </c>
      <c r="X28">
        <v>2.0247999999999999E-2</v>
      </c>
      <c r="Y28">
        <f>표1_5[[#This Row],[MAC Count]]/표1_5[[#This Row],[CPU reference time(s)]]/1000000</f>
        <v>73.870313420140022</v>
      </c>
      <c r="Z28">
        <f>표1_5[[#This Row],[MAC Count]]/표1_5[[#This Row],[FPGA End-to-End time(s)]]/1000000</f>
        <v>223.02647175029637</v>
      </c>
      <c r="AA28">
        <f>(표1_5[[#This Row],[MAC Count]]/표1_5[[#This Row],[Run time(PL) (s)]])/표1_5[[#This Row],[Theoretical Peak MAC/s]]*100</f>
        <v>77.794928335170894</v>
      </c>
      <c r="AB28">
        <v>3.8219999999999999E-3</v>
      </c>
      <c r="AC28">
        <v>1.8140000000000001E-3</v>
      </c>
      <c r="AD28">
        <v>1.5169999999999999E-3</v>
      </c>
      <c r="AE28">
        <v>4.8999999999999998E-4</v>
      </c>
      <c r="AF28">
        <f>표1_5[[#This Row],[Run time(PL) (s)]]/표1_5[[#This Row],[PL Active time (s)]]</f>
        <v>0.47462061747776035</v>
      </c>
      <c r="AG28">
        <f>표1_5[[#This Row],[DMA time (s)]]/표1_5[[#This Row],[PL Active time (s)]]</f>
        <v>0.39691261119832549</v>
      </c>
      <c r="AH28">
        <v>2.8200000000000002E-4</v>
      </c>
      <c r="AI28">
        <v>9.2199999999999997E-4</v>
      </c>
      <c r="AJ28">
        <v>3.1399999999999999E-4</v>
      </c>
      <c r="AK28">
        <v>1.3516E-2</v>
      </c>
      <c r="AL28">
        <v>1.4779999999999999E-3</v>
      </c>
      <c r="AM28">
        <v>7.8399999999999997E-3</v>
      </c>
      <c r="AN28">
        <v>1.5579999999999999E-3</v>
      </c>
      <c r="AO28">
        <v>2.6410000000000001E-3</v>
      </c>
      <c r="AP28">
        <f>표1_5[[#This Row],[Numpy Layout (s)]]/표1_5[[#This Row],[Host Run time (s)]]</f>
        <v>0.58005327019828345</v>
      </c>
      <c r="AQ28">
        <f>표1_5[[#This Row],[MMIO (s)]]/표1_5[[#This Row],[Host Run time (s)]]</f>
        <v>0.10935187925421722</v>
      </c>
      <c r="AR28">
        <f>(표1_5[[#This Row],[DMA Send wait (s)]]+표1_5[[#This Row],[DMA Recv Wait (s)]])/표1_5[[#This Row],[Host Run time (s)]]</f>
        <v>0.3106688369340041</v>
      </c>
    </row>
    <row r="29" spans="1:44">
      <c r="A29" s="1"/>
      <c r="B29">
        <v>28</v>
      </c>
      <c r="C29" s="2" t="s">
        <v>13</v>
      </c>
      <c r="D29">
        <v>7</v>
      </c>
      <c r="E29">
        <v>7</v>
      </c>
      <c r="F29">
        <f t="shared" si="2"/>
        <v>49</v>
      </c>
      <c r="G29">
        <v>160</v>
      </c>
      <c r="H29">
        <v>960</v>
      </c>
      <c r="I29">
        <f t="shared" si="0"/>
        <v>7526400</v>
      </c>
      <c r="J29">
        <f>(4*(표1_5[[#This Row],[S]]*표1_5[[#This Row],[IC]])+4*(표1_5[[#This Row],[IC]]*표1_5[[#This Row],[OC]])+4*(표1_5[[#This Row],[S]]*표1_5[[#This Row],[OC]]))</f>
        <v>833920</v>
      </c>
      <c r="K29">
        <f>표1_5[[#This Row],[MAC Count]]/표1_5[[#This Row],[Memory Traffic]]</f>
        <v>9.0253261703760561</v>
      </c>
      <c r="L29">
        <f>표1_5[[#This Row],[CPU reference time(s)]]/표1_5[[#This Row],[FPGA End-to-End time(s)]]</f>
        <v>1.9922334172963894</v>
      </c>
      <c r="M29">
        <f>표1_5[[#This Row],[Memory Traffic]]/(표1_5[[#This Row],[ISRAM DMA (s)]]+표1_5[[#This Row],[WSRAM DMA (s)]]+표1_5[[#This Row],[PSRAM DMA (s)]])/1000000000</f>
        <v>0.23326433566433566</v>
      </c>
      <c r="N29">
        <f t="shared" si="1"/>
        <v>2</v>
      </c>
      <c r="O29">
        <f>표1_5[[#This Row],[MAC Count]]*표1_5[[#This Row],[Repeat]]</f>
        <v>15052800</v>
      </c>
      <c r="P29">
        <v>49</v>
      </c>
      <c r="Q29">
        <v>160</v>
      </c>
      <c r="R29">
        <v>640</v>
      </c>
      <c r="S29">
        <f t="shared" si="3"/>
        <v>3200000000</v>
      </c>
      <c r="T29">
        <f>표1_5[[#This Row],[tile_S]]*CEILING((표1_5[[#This Row],[tile_IC]]/8),1)</f>
        <v>980</v>
      </c>
      <c r="U29">
        <f>표1_5[[#This Row],[tile_S]]*CEILING(표1_5[[#This Row],[tile_OC]]/4,1)</f>
        <v>7840</v>
      </c>
      <c r="V29">
        <f>표1_5[[#This Row],[tile_IC]]*CEILING((표1_5[[#This Row],[tile_OC]]/4),1)</f>
        <v>25600</v>
      </c>
      <c r="W29">
        <v>6.6436999999999996E-2</v>
      </c>
      <c r="X29">
        <v>3.3348000000000003E-2</v>
      </c>
      <c r="Y29">
        <f>표1_5[[#This Row],[MAC Count]]/표1_5[[#This Row],[CPU reference time(s)]]/1000000</f>
        <v>113.28627120429881</v>
      </c>
      <c r="Z29">
        <f>표1_5[[#This Row],[MAC Count]]/표1_5[[#This Row],[FPGA End-to-End time(s)]]/1000000</f>
        <v>225.69269521410578</v>
      </c>
      <c r="AA29">
        <f>(표1_5[[#This Row],[MAC Count]]/표1_5[[#This Row],[Run time(PL) (s)]])/표1_5[[#This Row],[Theoretical Peak MAC/s]]*100</f>
        <v>77.777777777777786</v>
      </c>
      <c r="AB29">
        <v>7.4149999999999997E-3</v>
      </c>
      <c r="AC29">
        <v>3.0240000000000002E-3</v>
      </c>
      <c r="AD29">
        <v>3.5739999999999999E-3</v>
      </c>
      <c r="AE29">
        <v>8.1599999999999999E-4</v>
      </c>
      <c r="AF29">
        <f>표1_5[[#This Row],[Run time(PL) (s)]]/표1_5[[#This Row],[PL Active time (s)]]</f>
        <v>0.40782198246797036</v>
      </c>
      <c r="AG29">
        <f>표1_5[[#This Row],[DMA time (s)]]/표1_5[[#This Row],[PL Active time (s)]]</f>
        <v>0.48199595414699931</v>
      </c>
      <c r="AH29">
        <v>1.5699999999999999E-4</v>
      </c>
      <c r="AI29">
        <v>1.536E-3</v>
      </c>
      <c r="AJ29">
        <v>1.882E-3</v>
      </c>
      <c r="AK29">
        <v>2.6943000000000002E-2</v>
      </c>
      <c r="AL29">
        <v>2.6229999999999999E-3</v>
      </c>
      <c r="AM29">
        <v>1.5959000000000001E-2</v>
      </c>
      <c r="AN29">
        <v>2.6099999999999999E-3</v>
      </c>
      <c r="AO29">
        <v>5.751E-3</v>
      </c>
      <c r="AP29">
        <f>표1_5[[#This Row],[Numpy Layout (s)]]/표1_5[[#This Row],[Host Run time (s)]]</f>
        <v>0.59232453698548793</v>
      </c>
      <c r="AQ29">
        <f>표1_5[[#This Row],[MMIO (s)]]/표1_5[[#This Row],[Host Run time (s)]]</f>
        <v>9.7353672568013944E-2</v>
      </c>
      <c r="AR29">
        <f>(표1_5[[#This Row],[DMA Send wait (s)]]+표1_5[[#This Row],[DMA Recv Wait (s)]])/표1_5[[#This Row],[Host Run time (s)]]</f>
        <v>0.31032179044649816</v>
      </c>
    </row>
    <row r="30" spans="1:44">
      <c r="A30" s="1"/>
      <c r="B30">
        <v>29</v>
      </c>
      <c r="C30" s="2" t="s">
        <v>11</v>
      </c>
      <c r="D30">
        <v>7</v>
      </c>
      <c r="E30">
        <v>7</v>
      </c>
      <c r="F30">
        <f t="shared" si="2"/>
        <v>49</v>
      </c>
      <c r="G30">
        <v>960</v>
      </c>
      <c r="H30">
        <v>160</v>
      </c>
      <c r="I30">
        <f t="shared" si="0"/>
        <v>7526400</v>
      </c>
      <c r="J30">
        <f>(4*(표1_5[[#This Row],[S]]*표1_5[[#This Row],[IC]])+4*(표1_5[[#This Row],[IC]]*표1_5[[#This Row],[OC]])+4*(표1_5[[#This Row],[S]]*표1_5[[#This Row],[OC]]))</f>
        <v>833920</v>
      </c>
      <c r="K30">
        <f>표1_5[[#This Row],[MAC Count]]/표1_5[[#This Row],[Memory Traffic]]</f>
        <v>9.0253261703760561</v>
      </c>
      <c r="L30">
        <f>표1_5[[#This Row],[CPU reference time(s)]]/표1_5[[#This Row],[FPGA End-to-End time(s)]]</f>
        <v>3.040279538819922</v>
      </c>
      <c r="M30">
        <f>표1_5[[#This Row],[Memory Traffic]]/(표1_5[[#This Row],[ISRAM DMA (s)]]+표1_5[[#This Row],[WSRAM DMA (s)]]+표1_5[[#This Row],[PSRAM DMA (s)]])/1000000000</f>
        <v>0.29878896452884268</v>
      </c>
      <c r="N30">
        <f t="shared" si="1"/>
        <v>2</v>
      </c>
      <c r="O30">
        <f>표1_5[[#This Row],[MAC Count]]*표1_5[[#This Row],[Repeat]]</f>
        <v>15052800</v>
      </c>
      <c r="P30">
        <v>49</v>
      </c>
      <c r="Q30">
        <v>960</v>
      </c>
      <c r="R30">
        <v>120</v>
      </c>
      <c r="S30">
        <f t="shared" si="3"/>
        <v>3200000000</v>
      </c>
      <c r="T30">
        <f>표1_5[[#This Row],[tile_S]]*CEILING((표1_5[[#This Row],[tile_IC]]/8),1)</f>
        <v>5880</v>
      </c>
      <c r="U30">
        <f>표1_5[[#This Row],[tile_S]]*CEILING(표1_5[[#This Row],[tile_OC]]/4,1)</f>
        <v>1470</v>
      </c>
      <c r="V30">
        <f>표1_5[[#This Row],[tile_IC]]*CEILING((표1_5[[#This Row],[tile_OC]]/4),1)</f>
        <v>28800</v>
      </c>
      <c r="W30">
        <v>0.103105</v>
      </c>
      <c r="X30">
        <v>3.3912999999999999E-2</v>
      </c>
      <c r="Y30">
        <f>표1_5[[#This Row],[MAC Count]]/표1_5[[#This Row],[CPU reference time(s)]]/1000000</f>
        <v>72.997429804568156</v>
      </c>
      <c r="Z30">
        <f>표1_5[[#This Row],[MAC Count]]/표1_5[[#This Row],[FPGA End-to-End time(s)]]/1000000</f>
        <v>221.93259222127207</v>
      </c>
      <c r="AA30">
        <f>(표1_5[[#This Row],[MAC Count]]/표1_5[[#This Row],[Run time(PL) (s)]])/표1_5[[#This Row],[Theoretical Peak MAC/s]]*100</f>
        <v>77.777777777777786</v>
      </c>
      <c r="AB30">
        <v>6.6309999999999997E-3</v>
      </c>
      <c r="AC30">
        <v>3.0240000000000002E-3</v>
      </c>
      <c r="AD30">
        <v>2.7899999999999999E-3</v>
      </c>
      <c r="AE30">
        <v>8.1599999999999999E-4</v>
      </c>
      <c r="AF30">
        <f>표1_5[[#This Row],[Run time(PL) (s)]]/표1_5[[#This Row],[PL Active time (s)]]</f>
        <v>0.45603981299954766</v>
      </c>
      <c r="AG30">
        <f>표1_5[[#This Row],[DMA time (s)]]/표1_5[[#This Row],[PL Active time (s)]]</f>
        <v>0.42075101794601116</v>
      </c>
      <c r="AH30">
        <v>9.41E-4</v>
      </c>
      <c r="AI30">
        <v>1.536E-3</v>
      </c>
      <c r="AJ30">
        <v>3.1399999999999999E-4</v>
      </c>
      <c r="AK30">
        <v>2.5174999999999999E-2</v>
      </c>
      <c r="AL30">
        <v>2.611E-3</v>
      </c>
      <c r="AM30">
        <v>1.5152000000000001E-2</v>
      </c>
      <c r="AN30">
        <v>3.2100000000000002E-3</v>
      </c>
      <c r="AO30">
        <v>4.2030000000000001E-3</v>
      </c>
      <c r="AP30">
        <f>표1_5[[#This Row],[Numpy Layout (s)]]/표1_5[[#This Row],[Host Run time (s)]]</f>
        <v>0.60186693147964254</v>
      </c>
      <c r="AQ30">
        <f>표1_5[[#This Row],[MMIO (s)]]/표1_5[[#This Row],[Host Run time (s)]]</f>
        <v>0.10371400198609733</v>
      </c>
      <c r="AR30">
        <f>(표1_5[[#This Row],[DMA Send wait (s)]]+표1_5[[#This Row],[DMA Recv Wait (s)]])/표1_5[[#This Row],[Host Run time (s)]]</f>
        <v>0.29445878848063556</v>
      </c>
    </row>
    <row r="31" spans="1:44">
      <c r="A31" s="1"/>
      <c r="B31">
        <v>30</v>
      </c>
      <c r="C31" s="2" t="s">
        <v>13</v>
      </c>
      <c r="D31">
        <v>7</v>
      </c>
      <c r="E31">
        <v>7</v>
      </c>
      <c r="F31">
        <f t="shared" si="2"/>
        <v>49</v>
      </c>
      <c r="G31">
        <v>160</v>
      </c>
      <c r="H31">
        <v>960</v>
      </c>
      <c r="I31">
        <f t="shared" si="0"/>
        <v>7526400</v>
      </c>
      <c r="J31">
        <f>(4*(표1_5[[#This Row],[S]]*표1_5[[#This Row],[IC]])+4*(표1_5[[#This Row],[IC]]*표1_5[[#This Row],[OC]])+4*(표1_5[[#This Row],[S]]*표1_5[[#This Row],[OC]]))</f>
        <v>833920</v>
      </c>
      <c r="K31">
        <f>표1_5[[#This Row],[MAC Count]]/표1_5[[#This Row],[Memory Traffic]]</f>
        <v>9.0253261703760561</v>
      </c>
      <c r="L31">
        <f>표1_5[[#This Row],[CPU reference time(s)]]/표1_5[[#This Row],[FPGA End-to-End time(s)]]</f>
        <v>1.9821097349368755</v>
      </c>
      <c r="M31">
        <f>표1_5[[#This Row],[Memory Traffic]]/(표1_5[[#This Row],[ISRAM DMA (s)]]+표1_5[[#This Row],[WSRAM DMA (s)]]+표1_5[[#This Row],[PSRAM DMA (s)]])/1000000000</f>
        <v>0.23326433566433566</v>
      </c>
      <c r="N31">
        <f t="shared" si="1"/>
        <v>2</v>
      </c>
      <c r="O31">
        <f>표1_5[[#This Row],[MAC Count]]*표1_5[[#This Row],[Repeat]]</f>
        <v>15052800</v>
      </c>
      <c r="P31">
        <v>49</v>
      </c>
      <c r="Q31">
        <v>160</v>
      </c>
      <c r="R31">
        <v>640</v>
      </c>
      <c r="S31">
        <f t="shared" si="3"/>
        <v>3200000000</v>
      </c>
      <c r="T31">
        <f>표1_5[[#This Row],[tile_S]]*CEILING((표1_5[[#This Row],[tile_IC]]/8),1)</f>
        <v>980</v>
      </c>
      <c r="U31">
        <f>표1_5[[#This Row],[tile_S]]*CEILING(표1_5[[#This Row],[tile_OC]]/4,1)</f>
        <v>7840</v>
      </c>
      <c r="V31">
        <f>표1_5[[#This Row],[tile_IC]]*CEILING((표1_5[[#This Row],[tile_OC]]/4),1)</f>
        <v>25600</v>
      </c>
      <c r="W31">
        <v>6.6253999999999993E-2</v>
      </c>
      <c r="X31">
        <v>3.3425999999999997E-2</v>
      </c>
      <c r="Y31">
        <f>표1_5[[#This Row],[MAC Count]]/표1_5[[#This Row],[CPU reference time(s)]]/1000000</f>
        <v>113.59917891749933</v>
      </c>
      <c r="Z31">
        <f>표1_5[[#This Row],[MAC Count]]/표1_5[[#This Row],[FPGA End-to-End time(s)]]/1000000</f>
        <v>225.16603841321128</v>
      </c>
      <c r="AA31">
        <f>(표1_5[[#This Row],[MAC Count]]/표1_5[[#This Row],[Run time(PL) (s)]])/표1_5[[#This Row],[Theoretical Peak MAC/s]]*100</f>
        <v>77.777777777777786</v>
      </c>
      <c r="AB31">
        <v>7.4149999999999997E-3</v>
      </c>
      <c r="AC31">
        <v>3.0240000000000002E-3</v>
      </c>
      <c r="AD31">
        <v>3.5739999999999999E-3</v>
      </c>
      <c r="AE31">
        <v>8.1599999999999999E-4</v>
      </c>
      <c r="AF31">
        <f>표1_5[[#This Row],[Run time(PL) (s)]]/표1_5[[#This Row],[PL Active time (s)]]</f>
        <v>0.40782198246797036</v>
      </c>
      <c r="AG31">
        <f>표1_5[[#This Row],[DMA time (s)]]/표1_5[[#This Row],[PL Active time (s)]]</f>
        <v>0.48199595414699931</v>
      </c>
      <c r="AH31">
        <v>1.5699999999999999E-4</v>
      </c>
      <c r="AI31">
        <v>1.536E-3</v>
      </c>
      <c r="AJ31">
        <v>1.882E-3</v>
      </c>
      <c r="AK31">
        <v>2.7185000000000001E-2</v>
      </c>
      <c r="AL31">
        <v>2.5860000000000002E-3</v>
      </c>
      <c r="AM31">
        <v>1.6138E-2</v>
      </c>
      <c r="AN31">
        <v>2.7030000000000001E-3</v>
      </c>
      <c r="AO31">
        <v>5.7580000000000001E-3</v>
      </c>
      <c r="AP31">
        <f>표1_5[[#This Row],[Numpy Layout (s)]]/표1_5[[#This Row],[Host Run time (s)]]</f>
        <v>0.59363619643185572</v>
      </c>
      <c r="AQ31">
        <f>표1_5[[#This Row],[MMIO (s)]]/표1_5[[#This Row],[Host Run time (s)]]</f>
        <v>9.5125988596652569E-2</v>
      </c>
      <c r="AR31">
        <f>(표1_5[[#This Row],[DMA Send wait (s)]]+표1_5[[#This Row],[DMA Recv Wait (s)]])/표1_5[[#This Row],[Host Run time (s)]]</f>
        <v>0.31123781497149161</v>
      </c>
    </row>
    <row r="32" spans="1:44">
      <c r="A32" s="1"/>
      <c r="B32">
        <v>31</v>
      </c>
      <c r="C32" s="2" t="s">
        <v>11</v>
      </c>
      <c r="D32">
        <v>7</v>
      </c>
      <c r="E32">
        <v>7</v>
      </c>
      <c r="F32">
        <f t="shared" si="2"/>
        <v>49</v>
      </c>
      <c r="G32">
        <v>960</v>
      </c>
      <c r="H32">
        <v>160</v>
      </c>
      <c r="I32">
        <f t="shared" si="0"/>
        <v>7526400</v>
      </c>
      <c r="J32">
        <f>(4*(표1_5[[#This Row],[S]]*표1_5[[#This Row],[IC]])+4*(표1_5[[#This Row],[IC]]*표1_5[[#This Row],[OC]])+4*(표1_5[[#This Row],[S]]*표1_5[[#This Row],[OC]]))</f>
        <v>833920</v>
      </c>
      <c r="K32">
        <f>표1_5[[#This Row],[MAC Count]]/표1_5[[#This Row],[Memory Traffic]]</f>
        <v>9.0253261703760561</v>
      </c>
      <c r="L32">
        <f>표1_5[[#This Row],[CPU reference time(s)]]/표1_5[[#This Row],[FPGA End-to-End time(s)]]</f>
        <v>3.1366491986148142</v>
      </c>
      <c r="M32">
        <f>표1_5[[#This Row],[Memory Traffic]]/(표1_5[[#This Row],[ISRAM DMA (s)]]+표1_5[[#This Row],[WSRAM DMA (s)]]+표1_5[[#This Row],[PSRAM DMA (s)]])/1000000000</f>
        <v>0.29878896452884268</v>
      </c>
      <c r="N32">
        <f t="shared" si="1"/>
        <v>2</v>
      </c>
      <c r="O32">
        <f>표1_5[[#This Row],[MAC Count]]*표1_5[[#This Row],[Repeat]]</f>
        <v>15052800</v>
      </c>
      <c r="P32">
        <v>49</v>
      </c>
      <c r="Q32">
        <v>960</v>
      </c>
      <c r="R32">
        <v>120</v>
      </c>
      <c r="S32">
        <f t="shared" si="3"/>
        <v>3200000000</v>
      </c>
      <c r="T32">
        <f>표1_5[[#This Row],[tile_S]]*CEILING((표1_5[[#This Row],[tile_IC]]/8),1)</f>
        <v>5880</v>
      </c>
      <c r="U32">
        <f>표1_5[[#This Row],[tile_S]]*CEILING(표1_5[[#This Row],[tile_OC]]/4,1)</f>
        <v>1470</v>
      </c>
      <c r="V32">
        <f>표1_5[[#This Row],[tile_IC]]*CEILING((표1_5[[#This Row],[tile_OC]]/4),1)</f>
        <v>28800</v>
      </c>
      <c r="W32">
        <v>0.102352</v>
      </c>
      <c r="X32">
        <v>3.2631E-2</v>
      </c>
      <c r="Y32">
        <f>표1_5[[#This Row],[MAC Count]]/표1_5[[#This Row],[CPU reference time(s)]]/1000000</f>
        <v>73.534469282476152</v>
      </c>
      <c r="Z32">
        <f>표1_5[[#This Row],[MAC Count]]/표1_5[[#This Row],[FPGA End-to-End time(s)]]/1000000</f>
        <v>230.65183414544452</v>
      </c>
      <c r="AA32">
        <f>(표1_5[[#This Row],[MAC Count]]/표1_5[[#This Row],[Run time(PL) (s)]])/표1_5[[#This Row],[Theoretical Peak MAC/s]]*100</f>
        <v>77.777777777777786</v>
      </c>
      <c r="AB32">
        <v>6.6309999999999997E-3</v>
      </c>
      <c r="AC32">
        <v>3.0240000000000002E-3</v>
      </c>
      <c r="AD32">
        <v>2.7899999999999999E-3</v>
      </c>
      <c r="AE32">
        <v>8.1599999999999999E-4</v>
      </c>
      <c r="AF32">
        <f>표1_5[[#This Row],[Run time(PL) (s)]]/표1_5[[#This Row],[PL Active time (s)]]</f>
        <v>0.45603981299954766</v>
      </c>
      <c r="AG32">
        <f>표1_5[[#This Row],[DMA time (s)]]/표1_5[[#This Row],[PL Active time (s)]]</f>
        <v>0.42075101794601116</v>
      </c>
      <c r="AH32">
        <v>9.41E-4</v>
      </c>
      <c r="AI32">
        <v>1.536E-3</v>
      </c>
      <c r="AJ32">
        <v>3.1399999999999999E-4</v>
      </c>
      <c r="AK32">
        <v>2.4954E-2</v>
      </c>
      <c r="AL32">
        <v>2.6150000000000001E-3</v>
      </c>
      <c r="AM32">
        <v>1.4942E-2</v>
      </c>
      <c r="AN32">
        <v>3.1939999999999998E-3</v>
      </c>
      <c r="AO32">
        <v>4.2030000000000001E-3</v>
      </c>
      <c r="AP32">
        <f>표1_5[[#This Row],[Numpy Layout (s)]]/표1_5[[#This Row],[Host Run time (s)]]</f>
        <v>0.59878175843552139</v>
      </c>
      <c r="AQ32">
        <f>표1_5[[#This Row],[MMIO (s)]]/표1_5[[#This Row],[Host Run time (s)]]</f>
        <v>0.10479281878656729</v>
      </c>
      <c r="AR32">
        <f>(표1_5[[#This Row],[DMA Send wait (s)]]+표1_5[[#This Row],[DMA Recv Wait (s)]])/표1_5[[#This Row],[Host Run time (s)]]</f>
        <v>0.29642542277791134</v>
      </c>
    </row>
    <row r="33" spans="1:44">
      <c r="A33" s="1">
        <v>7</v>
      </c>
      <c r="B33">
        <v>32</v>
      </c>
      <c r="C33" s="2" t="s">
        <v>13</v>
      </c>
      <c r="D33">
        <v>7</v>
      </c>
      <c r="E33">
        <v>7</v>
      </c>
      <c r="F33">
        <f t="shared" si="2"/>
        <v>49</v>
      </c>
      <c r="G33">
        <v>160</v>
      </c>
      <c r="H33">
        <v>960</v>
      </c>
      <c r="I33">
        <f t="shared" si="0"/>
        <v>7526400</v>
      </c>
      <c r="J33">
        <f>(4*(표1_5[[#This Row],[S]]*표1_5[[#This Row],[IC]])+4*(표1_5[[#This Row],[IC]]*표1_5[[#This Row],[OC]])+4*(표1_5[[#This Row],[S]]*표1_5[[#This Row],[OC]]))</f>
        <v>833920</v>
      </c>
      <c r="K33">
        <f>표1_5[[#This Row],[MAC Count]]/표1_5[[#This Row],[Memory Traffic]]</f>
        <v>9.0253261703760561</v>
      </c>
      <c r="L33">
        <f>표1_5[[#This Row],[CPU reference time(s)]]/표1_5[[#This Row],[FPGA End-to-End time(s)]]</f>
        <v>1.9667811463761251</v>
      </c>
      <c r="M33">
        <f>표1_5[[#This Row],[Memory Traffic]]/(표1_5[[#This Row],[ISRAM DMA (s)]]+표1_5[[#This Row],[WSRAM DMA (s)]]+표1_5[[#This Row],[PSRAM DMA (s)]])/1000000000</f>
        <v>0.23326433566433566</v>
      </c>
      <c r="N33">
        <f t="shared" si="1"/>
        <v>2</v>
      </c>
      <c r="O33">
        <f>표1_5[[#This Row],[MAC Count]]*표1_5[[#This Row],[Repeat]]</f>
        <v>15052800</v>
      </c>
      <c r="P33">
        <v>49</v>
      </c>
      <c r="Q33">
        <v>160</v>
      </c>
      <c r="R33">
        <v>640</v>
      </c>
      <c r="S33">
        <f t="shared" si="3"/>
        <v>3200000000</v>
      </c>
      <c r="T33">
        <f>표1_5[[#This Row],[tile_S]]*CEILING((표1_5[[#This Row],[tile_IC]]/8),1)</f>
        <v>980</v>
      </c>
      <c r="U33">
        <f>표1_5[[#This Row],[tile_S]]*CEILING(표1_5[[#This Row],[tile_OC]]/4,1)</f>
        <v>7840</v>
      </c>
      <c r="V33">
        <f>표1_5[[#This Row],[tile_IC]]*CEILING((표1_5[[#This Row],[tile_OC]]/4),1)</f>
        <v>25600</v>
      </c>
      <c r="W33">
        <v>6.6430000000000003E-2</v>
      </c>
      <c r="X33">
        <v>3.3776E-2</v>
      </c>
      <c r="Y33">
        <f>표1_5[[#This Row],[MAC Count]]/표1_5[[#This Row],[CPU reference time(s)]]/1000000</f>
        <v>113.29820864067439</v>
      </c>
      <c r="Z33">
        <f>표1_5[[#This Row],[MAC Count]]/표1_5[[#This Row],[FPGA End-to-End time(s)]]/1000000</f>
        <v>222.83278067266696</v>
      </c>
      <c r="AA33">
        <f>(표1_5[[#This Row],[MAC Count]]/표1_5[[#This Row],[Run time(PL) (s)]])/표1_5[[#This Row],[Theoretical Peak MAC/s]]*100</f>
        <v>77.777777777777786</v>
      </c>
      <c r="AB33">
        <v>7.4149999999999997E-3</v>
      </c>
      <c r="AC33">
        <v>3.0240000000000002E-3</v>
      </c>
      <c r="AD33">
        <v>3.5739999999999999E-3</v>
      </c>
      <c r="AE33">
        <v>8.1599999999999999E-4</v>
      </c>
      <c r="AF33">
        <f>표1_5[[#This Row],[Run time(PL) (s)]]/표1_5[[#This Row],[PL Active time (s)]]</f>
        <v>0.40782198246797036</v>
      </c>
      <c r="AG33">
        <f>표1_5[[#This Row],[DMA time (s)]]/표1_5[[#This Row],[PL Active time (s)]]</f>
        <v>0.48199595414699931</v>
      </c>
      <c r="AH33">
        <v>1.5699999999999999E-4</v>
      </c>
      <c r="AI33">
        <v>1.536E-3</v>
      </c>
      <c r="AJ33">
        <v>1.882E-3</v>
      </c>
      <c r="AK33">
        <v>2.7144000000000001E-2</v>
      </c>
      <c r="AL33">
        <v>2.5929999999999998E-3</v>
      </c>
      <c r="AM33">
        <v>1.6188000000000001E-2</v>
      </c>
      <c r="AN33">
        <v>2.6189999999999998E-3</v>
      </c>
      <c r="AO33">
        <v>5.744E-3</v>
      </c>
      <c r="AP33">
        <f>표1_5[[#This Row],[Numpy Layout (s)]]/표1_5[[#This Row],[Host Run time (s)]]</f>
        <v>0.59637488947833772</v>
      </c>
      <c r="AQ33">
        <f>표1_5[[#This Row],[MMIO (s)]]/표1_5[[#This Row],[Host Run time (s)]]</f>
        <v>9.5527556734453276E-2</v>
      </c>
      <c r="AR33">
        <f>(표1_5[[#This Row],[DMA Send wait (s)]]+표1_5[[#This Row],[DMA Recv Wait (s)]])/표1_5[[#This Row],[Host Run time (s)]]</f>
        <v>0.30809755378720888</v>
      </c>
    </row>
    <row r="34" spans="1:44">
      <c r="A34" s="1"/>
      <c r="B34">
        <v>33</v>
      </c>
      <c r="C34" s="2" t="s">
        <v>11</v>
      </c>
      <c r="D34">
        <v>7</v>
      </c>
      <c r="E34">
        <v>7</v>
      </c>
      <c r="F34">
        <f t="shared" si="2"/>
        <v>49</v>
      </c>
      <c r="G34">
        <v>960</v>
      </c>
      <c r="H34">
        <v>320</v>
      </c>
      <c r="I34">
        <f t="shared" si="0"/>
        <v>15052800</v>
      </c>
      <c r="J34">
        <f>(4*(표1_5[[#This Row],[S]]*표1_5[[#This Row],[IC]])+4*(표1_5[[#This Row],[IC]]*표1_5[[#This Row],[OC]])+4*(표1_5[[#This Row],[S]]*표1_5[[#This Row],[OC]]))</f>
        <v>1479680</v>
      </c>
      <c r="K34">
        <f>표1_5[[#This Row],[MAC Count]]/표1_5[[#This Row],[Memory Traffic]]</f>
        <v>10.173010380622838</v>
      </c>
      <c r="L34">
        <f>표1_5[[#This Row],[CPU reference time(s)]]/표1_5[[#This Row],[FPGA End-to-End time(s)]]</f>
        <v>3.7321567609654815</v>
      </c>
      <c r="M34">
        <f>표1_5[[#This Row],[Memory Traffic]]/(표1_5[[#This Row],[ISRAM DMA (s)]]+표1_5[[#This Row],[WSRAM DMA (s)]]+표1_5[[#This Row],[PSRAM DMA (s)]])/1000000000</f>
        <v>0.2895655577299413</v>
      </c>
      <c r="N34">
        <f t="shared" si="1"/>
        <v>3</v>
      </c>
      <c r="O34">
        <f>표1_5[[#This Row],[MAC Count]]*표1_5[[#This Row],[Repeat]]</f>
        <v>45158400</v>
      </c>
      <c r="P34">
        <v>49</v>
      </c>
      <c r="Q34">
        <v>960</v>
      </c>
      <c r="R34">
        <v>120</v>
      </c>
      <c r="S34">
        <f t="shared" si="3"/>
        <v>3200000000</v>
      </c>
      <c r="T34">
        <f>표1_5[[#This Row],[tile_S]]*CEILING((표1_5[[#This Row],[tile_IC]]/8),1)</f>
        <v>5880</v>
      </c>
      <c r="U34">
        <f>표1_5[[#This Row],[tile_S]]*CEILING(표1_5[[#This Row],[tile_OC]]/4,1)</f>
        <v>1470</v>
      </c>
      <c r="V34">
        <f>표1_5[[#This Row],[tile_IC]]*CEILING((표1_5[[#This Row],[tile_OC]]/4),1)</f>
        <v>28800</v>
      </c>
      <c r="W34">
        <v>0.20132</v>
      </c>
      <c r="X34">
        <v>5.3941999999999997E-2</v>
      </c>
      <c r="Y34">
        <f>표1_5[[#This Row],[MAC Count]]/표1_5[[#This Row],[CPU reference time(s)]]/1000000</f>
        <v>74.770514603616135</v>
      </c>
      <c r="Z34">
        <f>표1_5[[#This Row],[MAC Count]]/표1_5[[#This Row],[FPGA End-to-End time(s)]]/1000000</f>
        <v>279.05528159875422</v>
      </c>
      <c r="AA34">
        <f>(표1_5[[#This Row],[MAC Count]]/표1_5[[#This Row],[Run time(PL) (s)]])/표1_5[[#This Row],[Theoretical Peak MAC/s]]*100</f>
        <v>77.777777777777786</v>
      </c>
      <c r="AB34">
        <v>1.2791E-2</v>
      </c>
      <c r="AC34">
        <v>6.0480000000000004E-3</v>
      </c>
      <c r="AD34">
        <v>5.11E-3</v>
      </c>
      <c r="AE34">
        <v>1.632E-3</v>
      </c>
      <c r="AF34">
        <f>표1_5[[#This Row],[Run time(PL) (s)]]/표1_5[[#This Row],[PL Active time (s)]]</f>
        <v>0.4728324603236651</v>
      </c>
      <c r="AG34">
        <f>표1_5[[#This Row],[DMA time (s)]]/표1_5[[#This Row],[PL Active time (s)]]</f>
        <v>0.39949964819013367</v>
      </c>
      <c r="AH34">
        <v>1.4109999999999999E-3</v>
      </c>
      <c r="AI34">
        <v>3.0720000000000001E-3</v>
      </c>
      <c r="AJ34">
        <v>6.2699999999999995E-4</v>
      </c>
      <c r="AK34">
        <v>4.4017000000000001E-2</v>
      </c>
      <c r="AL34">
        <v>3.859E-3</v>
      </c>
      <c r="AM34">
        <v>2.6179999999999998E-2</v>
      </c>
      <c r="AN34">
        <v>5.28E-3</v>
      </c>
      <c r="AO34">
        <v>8.3499999999999998E-3</v>
      </c>
      <c r="AP34">
        <f>표1_5[[#This Row],[Numpy Layout (s)]]/표1_5[[#This Row],[Host Run time (s)]]</f>
        <v>0.59477020242179157</v>
      </c>
      <c r="AQ34">
        <f>표1_5[[#This Row],[MMIO (s)]]/표1_5[[#This Row],[Host Run time (s)]]</f>
        <v>8.7670672694640711E-2</v>
      </c>
      <c r="AR34">
        <f>(표1_5[[#This Row],[DMA Send wait (s)]]+표1_5[[#This Row],[DMA Recv Wait (s)]])/표1_5[[#This Row],[Host Run time (s)]]</f>
        <v>0.30965308857941248</v>
      </c>
    </row>
    <row r="35" spans="1:44">
      <c r="A35" s="1" t="s">
        <v>15</v>
      </c>
      <c r="B35">
        <v>34</v>
      </c>
      <c r="C35" s="2" t="s">
        <v>16</v>
      </c>
      <c r="D35">
        <v>7</v>
      </c>
      <c r="E35">
        <v>7</v>
      </c>
      <c r="F35">
        <f t="shared" si="2"/>
        <v>49</v>
      </c>
      <c r="G35">
        <v>320</v>
      </c>
      <c r="H35">
        <v>1280</v>
      </c>
      <c r="I35">
        <f t="shared" si="0"/>
        <v>20070400</v>
      </c>
      <c r="J35">
        <f>(4*(표1_5[[#This Row],[S]]*표1_5[[#This Row],[IC]])+4*(표1_5[[#This Row],[IC]]*표1_5[[#This Row],[OC]])+4*(표1_5[[#This Row],[S]]*표1_5[[#This Row],[OC]]))</f>
        <v>1952000</v>
      </c>
      <c r="K35">
        <f>표1_5[[#This Row],[MAC Count]]/표1_5[[#This Row],[Memory Traffic]]</f>
        <v>10.281967213114754</v>
      </c>
      <c r="L35">
        <f>표1_5[[#This Row],[CPU reference time(s)]]/표1_5[[#This Row],[FPGA End-to-End time(s)]]</f>
        <v>3.7742965475952901</v>
      </c>
      <c r="M35">
        <f>표1_5[[#This Row],[Memory Traffic]]/(표1_5[[#This Row],[ISRAM DMA (s)]]+표1_5[[#This Row],[WSRAM DMA (s)]]+표1_5[[#This Row],[PSRAM DMA (s)]])/1000000000</f>
        <v>0.26991150442477874</v>
      </c>
      <c r="N35">
        <f t="shared" si="1"/>
        <v>4</v>
      </c>
      <c r="O35">
        <f>표1_5[[#This Row],[MAC Count]]*표1_5[[#This Row],[Repeat]]</f>
        <v>80281600</v>
      </c>
      <c r="P35">
        <v>49</v>
      </c>
      <c r="Q35">
        <v>320</v>
      </c>
      <c r="R35">
        <v>320</v>
      </c>
      <c r="S35">
        <f t="shared" si="3"/>
        <v>3200000000</v>
      </c>
      <c r="T35">
        <f>표1_5[[#This Row],[tile_S]]*CEILING((표1_5[[#This Row],[tile_IC]]/8),1)</f>
        <v>1960</v>
      </c>
      <c r="U35">
        <f>표1_5[[#This Row],[tile_S]]*CEILING(표1_5[[#This Row],[tile_OC]]/4,1)</f>
        <v>3920</v>
      </c>
      <c r="V35">
        <f>표1_5[[#This Row],[tile_IC]]*CEILING((표1_5[[#This Row],[tile_OC]]/4),1)</f>
        <v>25600</v>
      </c>
      <c r="W35">
        <v>0.245869</v>
      </c>
      <c r="X35">
        <v>6.5143000000000006E-2</v>
      </c>
      <c r="Y35">
        <f>표1_5[[#This Row],[MAC Count]]/표1_5[[#This Row],[CPU reference time(s)]]/1000000</f>
        <v>81.630461749956282</v>
      </c>
      <c r="Z35">
        <f>표1_5[[#This Row],[MAC Count]]/표1_5[[#This Row],[FPGA End-to-End time(s)]]/1000000</f>
        <v>308.09756996146933</v>
      </c>
      <c r="AA35">
        <f>(표1_5[[#This Row],[MAC Count]]/표1_5[[#This Row],[Run time(PL) (s)]])/표1_5[[#This Row],[Theoretical Peak MAC/s]]*100</f>
        <v>77.777777777777786</v>
      </c>
      <c r="AB35">
        <v>1.7472000000000001E-2</v>
      </c>
      <c r="AC35">
        <v>8.064E-3</v>
      </c>
      <c r="AD35">
        <v>7.2319999999999997E-3</v>
      </c>
      <c r="AE35">
        <v>2.176E-3</v>
      </c>
      <c r="AF35">
        <f>표1_5[[#This Row],[Run time(PL) (s)]]/표1_5[[#This Row],[PL Active time (s)]]</f>
        <v>0.46153846153846151</v>
      </c>
      <c r="AG35">
        <f>표1_5[[#This Row],[DMA time (s)]]/표1_5[[#This Row],[PL Active time (s)]]</f>
        <v>0.41391941391941389</v>
      </c>
      <c r="AH35">
        <v>6.2699999999999995E-4</v>
      </c>
      <c r="AI35">
        <v>4.0959999999999998E-3</v>
      </c>
      <c r="AJ35">
        <v>2.5089999999999999E-3</v>
      </c>
      <c r="AK35">
        <v>5.8448E-2</v>
      </c>
      <c r="AL35">
        <v>5.0660000000000002E-3</v>
      </c>
      <c r="AM35">
        <v>3.4252999999999999E-2</v>
      </c>
      <c r="AN35">
        <v>6.3010000000000002E-3</v>
      </c>
      <c r="AO35">
        <v>1.2828000000000001E-2</v>
      </c>
      <c r="AP35">
        <f>표1_5[[#This Row],[Numpy Layout (s)]]/표1_5[[#This Row],[Host Run time (s)]]</f>
        <v>0.58604229400492747</v>
      </c>
      <c r="AQ35">
        <f>표1_5[[#This Row],[MMIO (s)]]/표1_5[[#This Row],[Host Run time (s)]]</f>
        <v>8.6675335340815771E-2</v>
      </c>
      <c r="AR35">
        <f>(표1_5[[#This Row],[DMA Send wait (s)]]+표1_5[[#This Row],[DMA Recv Wait (s)]])/표1_5[[#This Row],[Host Run time (s)]]</f>
        <v>0.3272823706542568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BD0B5-189D-D14E-8C32-712FD25914D5}">
  <dimension ref="A1:I15"/>
  <sheetViews>
    <sheetView zoomScale="125" workbookViewId="0">
      <selection activeCell="B3" sqref="B3"/>
    </sheetView>
  </sheetViews>
  <sheetFormatPr baseColWidth="10" defaultRowHeight="18"/>
  <cols>
    <col min="1" max="2" width="22.28515625" customWidth="1"/>
    <col min="3" max="3" width="20.140625" customWidth="1"/>
    <col min="4" max="4" width="26.42578125" customWidth="1"/>
    <col min="5" max="5" width="20.140625" customWidth="1"/>
    <col min="6" max="6" width="25.28515625" customWidth="1"/>
    <col min="7" max="7" width="19.85546875" customWidth="1"/>
    <col min="8" max="8" width="35.85546875" customWidth="1"/>
    <col min="9" max="9" width="21.7109375" customWidth="1"/>
    <col min="10" max="10" width="20.5703125" customWidth="1"/>
    <col min="11" max="11" width="32.140625" customWidth="1"/>
    <col min="12" max="12" width="22" customWidth="1"/>
    <col min="13" max="13" width="26.5703125" customWidth="1"/>
  </cols>
  <sheetData>
    <row r="1" spans="1:9">
      <c r="A1" t="s">
        <v>52</v>
      </c>
      <c r="B1" t="s">
        <v>73</v>
      </c>
      <c r="C1" t="s">
        <v>53</v>
      </c>
      <c r="D1" t="s">
        <v>54</v>
      </c>
      <c r="E1" t="s">
        <v>72</v>
      </c>
      <c r="F1" t="s">
        <v>31</v>
      </c>
      <c r="G1" t="s">
        <v>55</v>
      </c>
      <c r="H1" t="s">
        <v>62</v>
      </c>
      <c r="I1" t="s">
        <v>56</v>
      </c>
    </row>
    <row r="2" spans="1:9">
      <c r="A2">
        <f>SUM(표1_5[CPU reference time(s)])/SUM(표1_5[FPGA End-to-End time(s)])</f>
        <v>2.039085498798936</v>
      </c>
      <c r="B2">
        <f>SUM(표1_5[CPU reference time(s)])/SUM(표1_5[Run time(PL) (s)])</f>
        <v>36.853896309425835</v>
      </c>
      <c r="C2">
        <f>SUM(표1_5[MAC Count])/(표1_5[[#This Row],[Theoretical Peak MAC/s]]*SUM(표1_5[Run time(PL) (s)]))*100</f>
        <v>88.340824207127937</v>
      </c>
      <c r="D2">
        <f>SUM(표1_5[DMA time (s)])/SUM(표1_5[PL Active time (s)])</f>
        <v>0.66558004983839492</v>
      </c>
      <c r="E2">
        <f>SUM(표1_5[PL Active time (s)])/SUM(표1_5[FPGA End-to-End time(s)])*100</f>
        <v>18.92794494079326</v>
      </c>
      <c r="F2">
        <f>SUM(표1_5[MAC Count])/SUM(표1_5[Memory Traffic])</f>
        <v>7.4645898412426721</v>
      </c>
      <c r="G2">
        <f>SUM(표1_5[Memory Traffic])/SUM(표1_5[DMA time (s)])/1000000000</f>
        <v>0.16632354862774723</v>
      </c>
      <c r="H2">
        <f>0.4</f>
        <v>0.4</v>
      </c>
      <c r="I2">
        <f>표6[[#This Row],[Measured BW (GB/s)]]/표6[[#This Row],[Theoretical Bandwidth (Effective) (GB/s)]]</f>
        <v>0.41580887156936808</v>
      </c>
    </row>
    <row r="15" spans="1:9" ht="26" customHeight="1"/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189C5-23FA-AD4C-B41D-B33905C7BB3B}">
  <dimension ref="A1:E4"/>
  <sheetViews>
    <sheetView workbookViewId="0">
      <selection activeCell="B2" sqref="B2"/>
    </sheetView>
  </sheetViews>
  <sheetFormatPr baseColWidth="10" defaultRowHeight="18"/>
  <cols>
    <col min="2" max="2" width="12" customWidth="1"/>
    <col min="3" max="3" width="14.42578125" customWidth="1"/>
    <col min="4" max="4" width="16.7109375" customWidth="1"/>
    <col min="5" max="5" width="15.5703125" customWidth="1"/>
  </cols>
  <sheetData>
    <row r="1" spans="1:5" ht="38">
      <c r="A1" t="s">
        <v>27</v>
      </c>
      <c r="B1" t="s">
        <v>28</v>
      </c>
      <c r="C1" s="3" t="s">
        <v>57</v>
      </c>
      <c r="D1" s="3" t="s">
        <v>58</v>
      </c>
      <c r="E1" t="s">
        <v>59</v>
      </c>
    </row>
    <row r="2" spans="1:5">
      <c r="A2" t="s">
        <v>14</v>
      </c>
      <c r="B2">
        <f>SUMIF(표1_5[종류], "Expand PW", 표1_5[MAC Count]) / SUMIF(표1_5[종류], "Expand PW", 표1_5[Memory Traffic])</f>
        <v>6.9785558408657522</v>
      </c>
      <c r="C2">
        <f>3.2/표6[[#This Row],[Measured BW (GB/s)]]</f>
        <v>19.239608740924581</v>
      </c>
      <c r="D2">
        <f>3.2/표6[[#This Row],[Theoretical Bandwidth (Effective) (GB/s)]]</f>
        <v>8</v>
      </c>
      <c r="E2" t="s">
        <v>63</v>
      </c>
    </row>
    <row r="3" spans="1:5">
      <c r="A3" t="s">
        <v>12</v>
      </c>
      <c r="B3">
        <f>SUMIF(표1_5[종류], "Project PW", 표1_5[MAC Count]) / SUMIF(표1_5[종류], "Project PW", 표1_5[Memory Traffic])</f>
        <v>7.6950557468916001</v>
      </c>
      <c r="C3">
        <f>C2</f>
        <v>19.239608740924581</v>
      </c>
      <c r="D3">
        <f>D2</f>
        <v>8</v>
      </c>
      <c r="E3" t="s">
        <v>63</v>
      </c>
    </row>
    <row r="4" spans="1:5">
      <c r="A4" t="s">
        <v>16</v>
      </c>
      <c r="B4">
        <f>SUMIF(표1_5[종류], "Final PW", 표1_5[MAC Count]) / SUMIF(표1_5[종류], "Final PW", 표1_5[Memory Traffic])</f>
        <v>10.281967213114754</v>
      </c>
      <c r="C4">
        <f>C2</f>
        <v>19.239608740924581</v>
      </c>
      <c r="D4">
        <f>D3</f>
        <v>8</v>
      </c>
      <c r="E4" t="s">
        <v>63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8D011-0A52-064D-B9F8-4EA7CC2C79B4}">
  <dimension ref="A1:H4"/>
  <sheetViews>
    <sheetView workbookViewId="0">
      <selection activeCell="E14" sqref="E14"/>
    </sheetView>
  </sheetViews>
  <sheetFormatPr baseColWidth="10" defaultRowHeight="18"/>
  <cols>
    <col min="2" max="2" width="19" customWidth="1"/>
    <col min="3" max="3" width="14.7109375" customWidth="1"/>
    <col min="4" max="5" width="26" customWidth="1"/>
    <col min="6" max="7" width="22.42578125" customWidth="1"/>
    <col min="8" max="8" width="17.85546875" customWidth="1"/>
  </cols>
  <sheetData>
    <row r="1" spans="1:8">
      <c r="A1" t="s">
        <v>27</v>
      </c>
      <c r="B1" t="s">
        <v>52</v>
      </c>
      <c r="C1" t="s">
        <v>30</v>
      </c>
      <c r="D1" t="s">
        <v>60</v>
      </c>
      <c r="E1" t="s">
        <v>72</v>
      </c>
      <c r="F1" t="s">
        <v>31</v>
      </c>
      <c r="G1" t="s">
        <v>71</v>
      </c>
      <c r="H1" t="s">
        <v>61</v>
      </c>
    </row>
    <row r="2" spans="1:8">
      <c r="A2" t="s">
        <v>14</v>
      </c>
      <c r="B2">
        <f>SUMIF(표1_5[종류], "Expand PW", 표1_5[CPU reference time(s)]) / SUMIF(표1_5[종류], "Expand PW", 표1_5[FPGA End-to-End time(s)])</f>
        <v>1.526897624290795</v>
      </c>
      <c r="C2">
        <f>SUMIF(표1_5[종류], "Expand PW", 표1_5[MAC Count])/( SUMIF(표1_5[종류], "Expand PW",표1_5[Run time(PL) (s)])*표1_5[[#This Row],[Theoretical Peak MAC/s]]) *100</f>
        <v>89.311865377414591</v>
      </c>
      <c r="D2">
        <f xml:space="preserve"> SUMIF(표1_5[종류], "Expand PW",표1_5[DMA time (s)])/SUMIF(표1_5[종류], "Expand PW", 표1_5[PL Active time (s)]) *100</f>
        <v>74.524686626943918</v>
      </c>
      <c r="E2">
        <f>SUMIF(표1_5[종류],"Expand PW",표1_5[PL Active time (s)])/SUMIF(표1_5[종류],"Expand PW",표1_5[FPGA End-to-End time(s)])*100</f>
        <v>19.015734630667772</v>
      </c>
      <c r="F2">
        <f>SUMIF(표1_5[종류], "Expand PW", 표1_5[MAC Count])/ SUMIF(표1_5[종류], "Expand PW",표1_5[Memory Traffic])</f>
        <v>6.9785558408657522</v>
      </c>
      <c r="G2" cm="1">
        <f t="array" ref="G2">SUMPRODUCT(
   (표1_5[종류]="Expand PW") *
   표1_5[MAC Count] *
   표1_5[BandWidth (GB/s)]
)
/
SUMIF(표1_5[종류], "Expand PW", 표1_5[MAC Count])</f>
        <v>0.13889743379184</v>
      </c>
      <c r="H2">
        <f>SUMIF(표1_5[종류],"Expand PW",표1_5[Repeat_x_MAC])/SUMIF(표1_5[종류],"Expand PW",표1_5[MAC Count])</f>
        <v>5.935034802784223</v>
      </c>
    </row>
    <row r="3" spans="1:8">
      <c r="A3" t="s">
        <v>12</v>
      </c>
      <c r="B3">
        <f>SUMIF(표1_5[종류], "Project PW", 표1_5[CPU reference time(s)]) / SUMIF(표1_5[종류], "Project PW", 표1_5[FPGA End-to-End time(s)])</f>
        <v>2.7777511601483895</v>
      </c>
      <c r="C3">
        <f>SUMIF(표1_5[종류], "Project PW", 표1_5[MAC Count])/( SUMIF(표1_5[종류], "Project PW",표1_5[Run time(PL) (s)])*표1_5[[#This Row],[Theoretical Peak MAC/s]]) *100</f>
        <v>89.335430936418419</v>
      </c>
      <c r="D3">
        <f xml:space="preserve"> SUMIF(표1_5[종류], "Project PW",표1_5[DMA time (s)])/SUMIF(표1_5[종류], "Project PW", 표1_5[PL Active time (s)]) *100</f>
        <v>55.352445452023623</v>
      </c>
      <c r="E3">
        <f>SUMIF(표1_5[종류],"Project PW",표1_5[PL Active time (s)])/SUMIF(표1_5[종류],"Project PW",표1_5[FPGA End-to-End time(s)])*100</f>
        <v>17.888358817812207</v>
      </c>
      <c r="F3">
        <f>SUMIF(표1_5[종류], "Project PW", 표1_5[MAC Count])/ SUMIF(표1_5[종류], "Project PW",표1_5[Memory Traffic])</f>
        <v>7.6950557468916001</v>
      </c>
      <c r="G3" cm="1">
        <f t="array" ref="G3">SUMPRODUCT(
   (표1_5[종류]="Project PW") *
   표1_5[MAC Count] *
   표1_5[BandWidth (GB/s)]
)
/
SUMIF(표1_5[종류], "Project PW", 표1_5[MAC Count])</f>
        <v>0.28313000561568991</v>
      </c>
      <c r="H3">
        <f>SUMIF(표1_5[종류],"Project PW",표1_5[Repeat_x_MAC])/SUMIF(표1_5[종류],"Project PW",표1_5[MAC Count])</f>
        <v>1.7595581988105353</v>
      </c>
    </row>
    <row r="4" spans="1:8">
      <c r="A4" t="s">
        <v>16</v>
      </c>
      <c r="B4">
        <f>SUMIF(표1_5[종류], "Final PW", 표1_5[CPU reference time(s)]) / SUMIF(표1_5[종류], "Final PW", 표1_5[FPGA End-to-End time(s)])</f>
        <v>3.7742965475952901</v>
      </c>
      <c r="C4">
        <f>SUMIF(표1_5[종류], "Final PW", 표1_5[MAC Count])/( SUMIF(표1_5[종류], "Final PW",표1_5[Run time(PL) (s)])*표1_5[[#This Row],[Theoretical Peak MAC/s]]) *100</f>
        <v>77.777777777777786</v>
      </c>
      <c r="D4">
        <f xml:space="preserve"> SUMIF(표1_5[종류], "Final PW",표1_5[DMA time (s)])/SUMIF(표1_5[종류], "Final PW", 표1_5[PL Active time (s)]) *100</f>
        <v>41.391941391941387</v>
      </c>
      <c r="E4">
        <f>SUMIF(표1_5[종류],"Final PW",표1_5[PL Active time (s)])/SUMIF(표1_5[종류],"Final PW",표1_5[FPGA End-to-End time(s)])*100</f>
        <v>26.820993813610055</v>
      </c>
      <c r="F4">
        <f>SUMIF(표1_5[종류], "Final PW", 표1_5[MAC Count])/ SUMIF(표1_5[종류], "Final PW",표1_5[Memory Traffic])</f>
        <v>10.281967213114754</v>
      </c>
      <c r="G4" cm="1">
        <f t="array" ref="G4">SUMPRODUCT(
   (표1_5[종류]="Final PW") *
   표1_5[MAC Count] *
   표1_5[BandWidth (GB/s)]
)
/
SUMIF(표1_5[종류], "Final PW", 표1_5[MAC Count])</f>
        <v>0.26991150442477874</v>
      </c>
      <c r="H4">
        <f>SUMIF(표1_5[종류],"Final PW",표1_5[Repeat_x_MAC])/SUMIF(표1_5[종류],"Final PW",표1_5[MAC Count])</f>
        <v>4</v>
      </c>
    </row>
  </sheetData>
  <phoneticPr fontId="1" type="noConversion"/>
  <pageMargins left="0.7" right="0.7" top="0.75" bottom="0.75" header="0.3" footer="0.3"/>
  <ignoredErrors>
    <ignoredError sqref="C3:C4 D2:D4" calculatedColumn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7C27D-ADD4-2740-90EA-3D127584CB05}">
  <dimension ref="A1:B4"/>
  <sheetViews>
    <sheetView workbookViewId="0">
      <selection activeCell="B4" sqref="A1:B4"/>
    </sheetView>
  </sheetViews>
  <sheetFormatPr baseColWidth="10" defaultRowHeight="18"/>
  <cols>
    <col min="1" max="1" width="16.7109375" customWidth="1"/>
  </cols>
  <sheetData>
    <row r="1" spans="1:2">
      <c r="A1" t="s">
        <v>64</v>
      </c>
      <c r="B1" t="s">
        <v>65</v>
      </c>
    </row>
    <row r="2" spans="1:2">
      <c r="A2" t="s">
        <v>66</v>
      </c>
      <c r="B2">
        <f>SUM(표1_5[Numpy Layout (s)])/SUM(표1_5[Host Run time (s)])*100</f>
        <v>66.721539670326962</v>
      </c>
    </row>
    <row r="3" spans="1:2">
      <c r="A3" t="s">
        <v>67</v>
      </c>
      <c r="B3">
        <f>SUM(표1_5[MMIO (s)])/SUM(표1_5[Host Run time (s)])*100</f>
        <v>8.4638776137176155</v>
      </c>
    </row>
    <row r="4" spans="1:2">
      <c r="A4" t="s">
        <v>68</v>
      </c>
      <c r="B4">
        <f>SUM(표1_5[[DMA Send wait (s)]:[DMA Recv Wait (s)]])/SUM(표1_5[Host Run time (s)])*100</f>
        <v>24.790929777961448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Master Table</vt:lpstr>
      <vt:lpstr>Overall Summary Table</vt:lpstr>
      <vt:lpstr>Roofline Summary Table</vt:lpstr>
      <vt:lpstr>Type Summary Table</vt:lpstr>
      <vt:lpstr>Host Breakdown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민서</dc:creator>
  <cp:lastModifiedBy>김 민서</cp:lastModifiedBy>
  <dcterms:created xsi:type="dcterms:W3CDTF">2026-02-12T08:31:16Z</dcterms:created>
  <dcterms:modified xsi:type="dcterms:W3CDTF">2026-02-22T18:46:46Z</dcterms:modified>
</cp:coreProperties>
</file>