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piano/Desktop/Everything/AI/fpga-ai-accelerator-dev/analysis/excel/02_hw_accumulation/"/>
    </mc:Choice>
  </mc:AlternateContent>
  <xr:revisionPtr revIDLastSave="0" documentId="13_ncr:1_{EBE6544C-79F3-2543-9E69-730EB9DB7754}" xr6:coauthVersionLast="47" xr6:coauthVersionMax="47" xr10:uidLastSave="{00000000-0000-0000-0000-000000000000}"/>
  <bookViews>
    <workbookView xWindow="-35840" yWindow="600" windowWidth="35840" windowHeight="20620" xr2:uid="{EB7FD7C8-8743-474B-B0AC-B221FB85438A}"/>
  </bookViews>
  <sheets>
    <sheet name="Master Table" sheetId="7" r:id="rId1"/>
    <sheet name="Overall Summary Table" sheetId="8" r:id="rId2"/>
    <sheet name="Type Summary Table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" i="8" l="1"/>
  <c r="F2" i="8"/>
  <c r="G2" i="8"/>
  <c r="H2" i="8"/>
  <c r="J2" i="8" s="1"/>
  <c r="AN2" i="7"/>
  <c r="AN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N35" i="7"/>
  <c r="I4" i="10"/>
  <c r="I3" i="10"/>
  <c r="I2" i="10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2" i="7"/>
  <c r="E4" i="10"/>
  <c r="E2" i="10"/>
  <c r="AJ11" i="7"/>
  <c r="AJ16" i="7"/>
  <c r="AJ17" i="7"/>
  <c r="AJ18" i="7"/>
  <c r="AJ27" i="7"/>
  <c r="AJ32" i="7"/>
  <c r="AJ33" i="7"/>
  <c r="AJ34" i="7"/>
  <c r="AJ2" i="7"/>
  <c r="AE2" i="7"/>
  <c r="AE3" i="7"/>
  <c r="AJ3" i="7" s="1"/>
  <c r="AE4" i="7"/>
  <c r="AJ4" i="7" s="1"/>
  <c r="AE5" i="7"/>
  <c r="AJ5" i="7" s="1"/>
  <c r="AE6" i="7"/>
  <c r="AJ6" i="7" s="1"/>
  <c r="AE7" i="7"/>
  <c r="AJ7" i="7" s="1"/>
  <c r="AE8" i="7"/>
  <c r="E3" i="10" s="1"/>
  <c r="AE9" i="7"/>
  <c r="AJ9" i="7" s="1"/>
  <c r="AE10" i="7"/>
  <c r="AJ10" i="7" s="1"/>
  <c r="AE11" i="7"/>
  <c r="AE12" i="7"/>
  <c r="AJ12" i="7" s="1"/>
  <c r="AE13" i="7"/>
  <c r="AJ13" i="7" s="1"/>
  <c r="AE14" i="7"/>
  <c r="AJ14" i="7" s="1"/>
  <c r="AE15" i="7"/>
  <c r="AJ15" i="7" s="1"/>
  <c r="AE16" i="7"/>
  <c r="AE17" i="7"/>
  <c r="AE18" i="7"/>
  <c r="AE19" i="7"/>
  <c r="AJ19" i="7" s="1"/>
  <c r="AE20" i="7"/>
  <c r="AJ20" i="7" s="1"/>
  <c r="AE21" i="7"/>
  <c r="AJ21" i="7" s="1"/>
  <c r="AE22" i="7"/>
  <c r="AJ22" i="7" s="1"/>
  <c r="AE23" i="7"/>
  <c r="AJ23" i="7" s="1"/>
  <c r="AE24" i="7"/>
  <c r="AJ24" i="7" s="1"/>
  <c r="AE25" i="7"/>
  <c r="AJ25" i="7" s="1"/>
  <c r="AE26" i="7"/>
  <c r="AJ26" i="7" s="1"/>
  <c r="AE27" i="7"/>
  <c r="AE28" i="7"/>
  <c r="AJ28" i="7" s="1"/>
  <c r="AE29" i="7"/>
  <c r="AJ29" i="7" s="1"/>
  <c r="AE30" i="7"/>
  <c r="AJ30" i="7" s="1"/>
  <c r="AE31" i="7"/>
  <c r="AJ31" i="7" s="1"/>
  <c r="AE32" i="7"/>
  <c r="AE33" i="7"/>
  <c r="AE34" i="7"/>
  <c r="AE35" i="7"/>
  <c r="AJ35" i="7" s="1"/>
  <c r="F4" i="10"/>
  <c r="F3" i="10"/>
  <c r="F2" i="10"/>
  <c r="D4" i="10"/>
  <c r="AD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D3" i="10" s="1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D35" i="7"/>
  <c r="AD2" i="7"/>
  <c r="AI3" i="7"/>
  <c r="AI4" i="7"/>
  <c r="AI5" i="7"/>
  <c r="AI6" i="7"/>
  <c r="AI7" i="7"/>
  <c r="AI8" i="7"/>
  <c r="AI9" i="7"/>
  <c r="AI10" i="7"/>
  <c r="AI11" i="7"/>
  <c r="AI12" i="7"/>
  <c r="AI13" i="7"/>
  <c r="AI14" i="7"/>
  <c r="AI15" i="7"/>
  <c r="AI16" i="7"/>
  <c r="AI17" i="7"/>
  <c r="AI18" i="7"/>
  <c r="AI19" i="7"/>
  <c r="AI20" i="7"/>
  <c r="AI21" i="7"/>
  <c r="AI22" i="7"/>
  <c r="AI23" i="7"/>
  <c r="AI24" i="7"/>
  <c r="AI25" i="7"/>
  <c r="AI26" i="7"/>
  <c r="AI27" i="7"/>
  <c r="AI28" i="7"/>
  <c r="AI29" i="7"/>
  <c r="AI30" i="7"/>
  <c r="AI31" i="7"/>
  <c r="AI32" i="7"/>
  <c r="AI33" i="7"/>
  <c r="AI34" i="7"/>
  <c r="AI35" i="7"/>
  <c r="AI2" i="7"/>
  <c r="AK2" i="7"/>
  <c r="AK3" i="7"/>
  <c r="AK4" i="7"/>
  <c r="AK5" i="7"/>
  <c r="AK6" i="7"/>
  <c r="AK7" i="7"/>
  <c r="AK8" i="7"/>
  <c r="AK9" i="7"/>
  <c r="AK10" i="7"/>
  <c r="AK11" i="7"/>
  <c r="AK12" i="7"/>
  <c r="AK13" i="7"/>
  <c r="AK14" i="7"/>
  <c r="AK15" i="7"/>
  <c r="AK16" i="7"/>
  <c r="AK17" i="7"/>
  <c r="AK18" i="7"/>
  <c r="AK19" i="7"/>
  <c r="AK20" i="7"/>
  <c r="AK21" i="7"/>
  <c r="AK22" i="7"/>
  <c r="AK23" i="7"/>
  <c r="AK24" i="7"/>
  <c r="AK25" i="7"/>
  <c r="AK26" i="7"/>
  <c r="AK27" i="7"/>
  <c r="AK28" i="7"/>
  <c r="AK29" i="7"/>
  <c r="AK30" i="7"/>
  <c r="AK31" i="7"/>
  <c r="AK32" i="7"/>
  <c r="AK33" i="7"/>
  <c r="AK34" i="7"/>
  <c r="AK35" i="7"/>
  <c r="AG2" i="7"/>
  <c r="AG3" i="7"/>
  <c r="AG4" i="7"/>
  <c r="AG5" i="7"/>
  <c r="AG6" i="7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33" i="7"/>
  <c r="AG34" i="7"/>
  <c r="AG35" i="7"/>
  <c r="AF2" i="7"/>
  <c r="AF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F35" i="7"/>
  <c r="B4" i="10"/>
  <c r="B3" i="10"/>
  <c r="B2" i="10"/>
  <c r="B2" i="8"/>
  <c r="A2" i="8"/>
  <c r="O2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AM3" i="7"/>
  <c r="AM4" i="7"/>
  <c r="AM5" i="7"/>
  <c r="AM6" i="7"/>
  <c r="AM7" i="7"/>
  <c r="AM8" i="7"/>
  <c r="AM9" i="7"/>
  <c r="AM10" i="7"/>
  <c r="AM11" i="7"/>
  <c r="AM12" i="7"/>
  <c r="AM13" i="7"/>
  <c r="AM14" i="7"/>
  <c r="AM15" i="7"/>
  <c r="AM16" i="7"/>
  <c r="AM17" i="7"/>
  <c r="AM18" i="7"/>
  <c r="AM19" i="7"/>
  <c r="AM20" i="7"/>
  <c r="AM21" i="7"/>
  <c r="AM22" i="7"/>
  <c r="AM23" i="7"/>
  <c r="AM24" i="7"/>
  <c r="AM25" i="7"/>
  <c r="AM26" i="7"/>
  <c r="AM27" i="7"/>
  <c r="AM28" i="7"/>
  <c r="AM29" i="7"/>
  <c r="AM30" i="7"/>
  <c r="AM31" i="7"/>
  <c r="AM32" i="7"/>
  <c r="AM33" i="7"/>
  <c r="AM34" i="7"/>
  <c r="AM35" i="7"/>
  <c r="AM2" i="7"/>
  <c r="AL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L35" i="7"/>
  <c r="AL2" i="7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2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2" i="7"/>
  <c r="F35" i="7"/>
  <c r="I35" i="7" s="1"/>
  <c r="Z35" i="7" s="1"/>
  <c r="F34" i="7"/>
  <c r="I34" i="7" s="1"/>
  <c r="X34" i="7" s="1"/>
  <c r="F33" i="7"/>
  <c r="I33" i="7" s="1"/>
  <c r="Z33" i="7" s="1"/>
  <c r="F32" i="7"/>
  <c r="J32" i="7" s="1"/>
  <c r="F31" i="7"/>
  <c r="I31" i="7" s="1"/>
  <c r="Z31" i="7" s="1"/>
  <c r="F30" i="7"/>
  <c r="I30" i="7" s="1"/>
  <c r="Z30" i="7" s="1"/>
  <c r="F29" i="7"/>
  <c r="J29" i="7" s="1"/>
  <c r="F28" i="7"/>
  <c r="J28" i="7" s="1"/>
  <c r="F27" i="7"/>
  <c r="I27" i="7" s="1"/>
  <c r="Z27" i="7" s="1"/>
  <c r="F26" i="7"/>
  <c r="I26" i="7" s="1"/>
  <c r="X26" i="7" s="1"/>
  <c r="F25" i="7"/>
  <c r="I25" i="7" s="1"/>
  <c r="X25" i="7" s="1"/>
  <c r="F24" i="7"/>
  <c r="I24" i="7" s="1"/>
  <c r="V24" i="7" s="1"/>
  <c r="F23" i="7"/>
  <c r="I23" i="7" s="1"/>
  <c r="V23" i="7" s="1"/>
  <c r="F22" i="7"/>
  <c r="I22" i="7" s="1"/>
  <c r="T22" i="7" s="1"/>
  <c r="F21" i="7"/>
  <c r="J21" i="7" s="1"/>
  <c r="F20" i="7"/>
  <c r="I20" i="7" s="1"/>
  <c r="Z20" i="7" s="1"/>
  <c r="F19" i="7"/>
  <c r="J19" i="7" s="1"/>
  <c r="F18" i="7"/>
  <c r="I18" i="7" s="1"/>
  <c r="X18" i="7" s="1"/>
  <c r="F17" i="7"/>
  <c r="J17" i="7" s="1"/>
  <c r="F16" i="7"/>
  <c r="J16" i="7" s="1"/>
  <c r="F15" i="7"/>
  <c r="J15" i="7" s="1"/>
  <c r="F14" i="7"/>
  <c r="I14" i="7" s="1"/>
  <c r="V14" i="7" s="1"/>
  <c r="F13" i="7"/>
  <c r="J13" i="7" s="1"/>
  <c r="F12" i="7"/>
  <c r="I12" i="7" s="1"/>
  <c r="Z12" i="7" s="1"/>
  <c r="F11" i="7"/>
  <c r="I11" i="7" s="1"/>
  <c r="Z11" i="7" s="1"/>
  <c r="F10" i="7"/>
  <c r="I10" i="7" s="1"/>
  <c r="X10" i="7" s="1"/>
  <c r="F9" i="7"/>
  <c r="I9" i="7" s="1"/>
  <c r="X9" i="7" s="1"/>
  <c r="F8" i="7"/>
  <c r="I8" i="7" s="1"/>
  <c r="V8" i="7" s="1"/>
  <c r="F7" i="7"/>
  <c r="J7" i="7" s="1"/>
  <c r="F6" i="7"/>
  <c r="I6" i="7" s="1"/>
  <c r="T6" i="7" s="1"/>
  <c r="F5" i="7"/>
  <c r="J5" i="7" s="1"/>
  <c r="F4" i="7"/>
  <c r="I4" i="7" s="1"/>
  <c r="Z4" i="7" s="1"/>
  <c r="F3" i="7"/>
  <c r="I3" i="7" s="1"/>
  <c r="Z3" i="7" s="1"/>
  <c r="F2" i="7"/>
  <c r="I2" i="7" s="1"/>
  <c r="Z2" i="7" s="1"/>
  <c r="AJ8" i="7" l="1"/>
  <c r="D2" i="10"/>
  <c r="AH12" i="7"/>
  <c r="C4" i="10"/>
  <c r="AO30" i="7"/>
  <c r="AO26" i="7"/>
  <c r="AO20" i="7"/>
  <c r="AO31" i="7"/>
  <c r="AO14" i="7"/>
  <c r="AO10" i="7"/>
  <c r="AA25" i="7"/>
  <c r="AO25" i="7"/>
  <c r="AO8" i="7"/>
  <c r="AO23" i="7"/>
  <c r="AO27" i="7"/>
  <c r="AO24" i="7"/>
  <c r="AO4" i="7"/>
  <c r="AA9" i="7"/>
  <c r="AO6" i="7"/>
  <c r="AA18" i="7"/>
  <c r="AO34" i="7"/>
  <c r="AO18" i="7"/>
  <c r="AO9" i="7"/>
  <c r="AO22" i="7"/>
  <c r="AA34" i="7"/>
  <c r="AO33" i="7"/>
  <c r="AO11" i="7"/>
  <c r="AA10" i="7"/>
  <c r="AA26" i="7"/>
  <c r="AO12" i="7"/>
  <c r="V22" i="7"/>
  <c r="AH35" i="7"/>
  <c r="AH26" i="7"/>
  <c r="AH28" i="7"/>
  <c r="AH25" i="7"/>
  <c r="AH10" i="7"/>
  <c r="AH9" i="7"/>
  <c r="AH3" i="7"/>
  <c r="AH24" i="7"/>
  <c r="AH23" i="7"/>
  <c r="AH19" i="7"/>
  <c r="AH8" i="7"/>
  <c r="AH7" i="7"/>
  <c r="AH27" i="7"/>
  <c r="AH11" i="7"/>
  <c r="V12" i="7"/>
  <c r="V26" i="7"/>
  <c r="V11" i="7"/>
  <c r="V10" i="7"/>
  <c r="T11" i="7"/>
  <c r="Z24" i="7"/>
  <c r="T34" i="7"/>
  <c r="Z23" i="7"/>
  <c r="T27" i="7"/>
  <c r="AH2" i="7"/>
  <c r="AH20" i="7"/>
  <c r="AH4" i="7"/>
  <c r="X8" i="7"/>
  <c r="AA8" i="7" s="1"/>
  <c r="X6" i="7"/>
  <c r="AA6" i="7" s="1"/>
  <c r="Z26" i="7"/>
  <c r="Z25" i="7"/>
  <c r="T26" i="7"/>
  <c r="T25" i="7"/>
  <c r="T12" i="7"/>
  <c r="V20" i="7"/>
  <c r="X4" i="7"/>
  <c r="AA4" i="7" s="1"/>
  <c r="T20" i="7"/>
  <c r="V18" i="7"/>
  <c r="Z34" i="7"/>
  <c r="T10" i="7"/>
  <c r="V4" i="7"/>
  <c r="Z18" i="7"/>
  <c r="T9" i="7"/>
  <c r="V3" i="7"/>
  <c r="Z10" i="7"/>
  <c r="T18" i="7"/>
  <c r="T4" i="7"/>
  <c r="X2" i="7"/>
  <c r="AA2" i="7" s="1"/>
  <c r="Z9" i="7"/>
  <c r="T3" i="7"/>
  <c r="X24" i="7"/>
  <c r="AA24" i="7" s="1"/>
  <c r="Z8" i="7"/>
  <c r="V2" i="7"/>
  <c r="X23" i="7"/>
  <c r="AA23" i="7" s="1"/>
  <c r="V35" i="7"/>
  <c r="X22" i="7"/>
  <c r="AA22" i="7" s="1"/>
  <c r="V6" i="7"/>
  <c r="T2" i="7"/>
  <c r="V34" i="7"/>
  <c r="X20" i="7"/>
  <c r="AA20" i="7" s="1"/>
  <c r="AH34" i="7"/>
  <c r="AH18" i="7"/>
  <c r="T35" i="7"/>
  <c r="V27" i="7"/>
  <c r="X12" i="7"/>
  <c r="AA12" i="7" s="1"/>
  <c r="AH33" i="7"/>
  <c r="AH17" i="7"/>
  <c r="T33" i="7"/>
  <c r="Z22" i="7"/>
  <c r="Z6" i="7"/>
  <c r="T31" i="7"/>
  <c r="V33" i="7"/>
  <c r="X35" i="7"/>
  <c r="AA35" i="7" s="1"/>
  <c r="X3" i="7"/>
  <c r="AA3" i="7" s="1"/>
  <c r="T30" i="7"/>
  <c r="T14" i="7"/>
  <c r="AH22" i="7"/>
  <c r="AH6" i="7"/>
  <c r="V31" i="7"/>
  <c r="X33" i="7"/>
  <c r="AA33" i="7" s="1"/>
  <c r="AH21" i="7"/>
  <c r="AH5" i="7"/>
  <c r="V30" i="7"/>
  <c r="X31" i="7"/>
  <c r="AA31" i="7" s="1"/>
  <c r="X14" i="7"/>
  <c r="AA14" i="7" s="1"/>
  <c r="T24" i="7"/>
  <c r="T8" i="7"/>
  <c r="Z14" i="7"/>
  <c r="T23" i="7"/>
  <c r="V25" i="7"/>
  <c r="V9" i="7"/>
  <c r="X27" i="7"/>
  <c r="AA27" i="7" s="1"/>
  <c r="X11" i="7"/>
  <c r="AA11" i="7" s="1"/>
  <c r="X30" i="7"/>
  <c r="AA30" i="7" s="1"/>
  <c r="AH30" i="7"/>
  <c r="AH14" i="7"/>
  <c r="AH32" i="7"/>
  <c r="AH16" i="7"/>
  <c r="AH29" i="7"/>
  <c r="AH13" i="7"/>
  <c r="AH31" i="7"/>
  <c r="AH15" i="7"/>
  <c r="I5" i="7"/>
  <c r="J30" i="7"/>
  <c r="I21" i="7"/>
  <c r="I28" i="7"/>
  <c r="I7" i="7"/>
  <c r="C2" i="10" s="1"/>
  <c r="I13" i="7"/>
  <c r="AO13" i="7" s="1"/>
  <c r="I16" i="7"/>
  <c r="C3" i="10" s="1"/>
  <c r="J14" i="7"/>
  <c r="J20" i="7"/>
  <c r="J12" i="7"/>
  <c r="J23" i="7"/>
  <c r="I29" i="7"/>
  <c r="AO29" i="7" s="1"/>
  <c r="J4" i="7"/>
  <c r="I32" i="7"/>
  <c r="J3" i="7"/>
  <c r="J10" i="7"/>
  <c r="I19" i="7"/>
  <c r="J26" i="7"/>
  <c r="J33" i="7"/>
  <c r="J8" i="7"/>
  <c r="I17" i="7"/>
  <c r="AO17" i="7" s="1"/>
  <c r="J24" i="7"/>
  <c r="J31" i="7"/>
  <c r="J6" i="7"/>
  <c r="I15" i="7"/>
  <c r="J22" i="7"/>
  <c r="J11" i="7"/>
  <c r="J27" i="7"/>
  <c r="J2" i="7"/>
  <c r="J18" i="7"/>
  <c r="J34" i="7"/>
  <c r="J9" i="7"/>
  <c r="J25" i="7"/>
  <c r="J35" i="7"/>
  <c r="H4" i="10" l="1"/>
  <c r="H2" i="10"/>
  <c r="H3" i="10"/>
  <c r="AO3" i="7"/>
  <c r="AO15" i="7"/>
  <c r="G4" i="10"/>
  <c r="AO2" i="7"/>
  <c r="AO35" i="7"/>
  <c r="AO21" i="7"/>
  <c r="AO32" i="7"/>
  <c r="AO19" i="7"/>
  <c r="E2" i="8"/>
  <c r="AO16" i="7"/>
  <c r="G3" i="10"/>
  <c r="AO28" i="7"/>
  <c r="AO7" i="7"/>
  <c r="C2" i="8"/>
  <c r="AO5" i="7"/>
  <c r="G2" i="10"/>
  <c r="V7" i="7"/>
  <c r="T7" i="7"/>
  <c r="X7" i="7"/>
  <c r="AA7" i="7" s="1"/>
  <c r="Z7" i="7"/>
  <c r="Z15" i="7"/>
  <c r="X15" i="7"/>
  <c r="AA15" i="7" s="1"/>
  <c r="V15" i="7"/>
  <c r="T15" i="7"/>
  <c r="T21" i="7"/>
  <c r="Z21" i="7"/>
  <c r="X21" i="7"/>
  <c r="AA21" i="7" s="1"/>
  <c r="V21" i="7"/>
  <c r="Z16" i="7"/>
  <c r="X16" i="7"/>
  <c r="AA16" i="7" s="1"/>
  <c r="V16" i="7"/>
  <c r="T16" i="7"/>
  <c r="V28" i="7"/>
  <c r="Z28" i="7"/>
  <c r="X28" i="7"/>
  <c r="AA28" i="7" s="1"/>
  <c r="T28" i="7"/>
  <c r="Z19" i="7"/>
  <c r="X19" i="7"/>
  <c r="AA19" i="7" s="1"/>
  <c r="T19" i="7"/>
  <c r="V19" i="7"/>
  <c r="T5" i="7"/>
  <c r="V5" i="7"/>
  <c r="Z5" i="7"/>
  <c r="X5" i="7"/>
  <c r="AA5" i="7" s="1"/>
  <c r="X29" i="7"/>
  <c r="AA29" i="7" s="1"/>
  <c r="Z29" i="7"/>
  <c r="V29" i="7"/>
  <c r="T29" i="7"/>
  <c r="Z13" i="7"/>
  <c r="X13" i="7"/>
  <c r="AA13" i="7" s="1"/>
  <c r="V13" i="7"/>
  <c r="T13" i="7"/>
  <c r="Z17" i="7"/>
  <c r="X17" i="7"/>
  <c r="AA17" i="7" s="1"/>
  <c r="V17" i="7"/>
  <c r="T17" i="7"/>
  <c r="X32" i="7"/>
  <c r="AA32" i="7" s="1"/>
  <c r="Z32" i="7"/>
  <c r="T32" i="7"/>
  <c r="V32" i="7"/>
  <c r="D2" i="8" l="1"/>
</calcChain>
</file>

<file path=xl/sharedStrings.xml><?xml version="1.0" encoding="utf-8"?>
<sst xmlns="http://schemas.openxmlformats.org/spreadsheetml/2006/main" count="100" uniqueCount="68">
  <si>
    <t>Block</t>
    <phoneticPr fontId="1" type="noConversion"/>
  </si>
  <si>
    <t>#</t>
    <phoneticPr fontId="1" type="noConversion"/>
  </si>
  <si>
    <t>종류</t>
    <phoneticPr fontId="1" type="noConversion"/>
  </si>
  <si>
    <t>H</t>
    <phoneticPr fontId="1" type="noConversion"/>
  </si>
  <si>
    <t>W</t>
    <phoneticPr fontId="1" type="noConversion"/>
  </si>
  <si>
    <t>S</t>
    <phoneticPr fontId="1" type="noConversion"/>
  </si>
  <si>
    <t>IC</t>
    <phoneticPr fontId="1" type="noConversion"/>
  </si>
  <si>
    <t>OC</t>
    <phoneticPr fontId="1" type="noConversion"/>
  </si>
  <si>
    <t>tile_S</t>
    <phoneticPr fontId="1" type="noConversion"/>
  </si>
  <si>
    <t>tile_IC</t>
    <phoneticPr fontId="1" type="noConversion"/>
  </si>
  <si>
    <t>tile_OC</t>
    <phoneticPr fontId="1" type="noConversion"/>
  </si>
  <si>
    <t>Project PW</t>
  </si>
  <si>
    <t>Project PW</t>
    <phoneticPr fontId="1" type="noConversion"/>
  </si>
  <si>
    <t>Expand PW</t>
  </si>
  <si>
    <t>Expand PW</t>
    <phoneticPr fontId="1" type="noConversion"/>
  </si>
  <si>
    <t>Final</t>
    <phoneticPr fontId="1" type="noConversion"/>
  </si>
  <si>
    <t>Final PW</t>
    <phoneticPr fontId="1" type="noConversion"/>
  </si>
  <si>
    <t>Psum SRAM Depth (&lt;= 15000)</t>
    <phoneticPr fontId="1" type="noConversion"/>
  </si>
  <si>
    <t>Input SRAM Depth (&lt;=30000)</t>
    <phoneticPr fontId="1" type="noConversion"/>
  </si>
  <si>
    <t>Weight SRAM Depth (&lt;= 30000)</t>
    <phoneticPr fontId="1" type="noConversion"/>
  </si>
  <si>
    <t>Repeat</t>
    <phoneticPr fontId="1" type="noConversion"/>
  </si>
  <si>
    <t>MAC 수</t>
    <phoneticPr fontId="1" type="noConversion"/>
  </si>
  <si>
    <t>CPU reference time(s)</t>
    <phoneticPr fontId="1" type="noConversion"/>
  </si>
  <si>
    <t>FPGA End-to-End time(s)</t>
    <phoneticPr fontId="1" type="noConversion"/>
  </si>
  <si>
    <t>Pure HW compute time(s)</t>
    <phoneticPr fontId="1" type="noConversion"/>
  </si>
  <si>
    <t>CPU Throughput</t>
    <phoneticPr fontId="1" type="noConversion"/>
  </si>
  <si>
    <t>FPGA End-to-End Throughpout</t>
    <phoneticPr fontId="1" type="noConversion"/>
  </si>
  <si>
    <t>FPGA Pure Compute Throughput</t>
    <phoneticPr fontId="1" type="noConversion"/>
  </si>
  <si>
    <t>Power</t>
    <phoneticPr fontId="1" type="noConversion"/>
  </si>
  <si>
    <t>Theoretical Peak MAC/s</t>
    <phoneticPr fontId="1" type="noConversion"/>
  </si>
  <si>
    <t>Performance/Watt</t>
    <phoneticPr fontId="1" type="noConversion"/>
  </si>
  <si>
    <t>Arithmetic Intensity</t>
    <phoneticPr fontId="1" type="noConversion"/>
  </si>
  <si>
    <t>Speedup (End-to-End)</t>
    <phoneticPr fontId="1" type="noConversion"/>
  </si>
  <si>
    <t>Speedup (Pure Compute)</t>
    <phoneticPr fontId="1" type="noConversion"/>
  </si>
  <si>
    <t>Kernel Time (s)</t>
    <phoneticPr fontId="1" type="noConversion"/>
  </si>
  <si>
    <t>Kernel Throughput</t>
    <phoneticPr fontId="1" type="noConversion"/>
  </si>
  <si>
    <t>Input DMA 비율 (%)</t>
    <phoneticPr fontId="1" type="noConversion"/>
  </si>
  <si>
    <t>Input DMA time (s)</t>
    <phoneticPr fontId="1" type="noConversion"/>
  </si>
  <si>
    <t>Weight DMA time (s)</t>
    <phoneticPr fontId="1" type="noConversion"/>
  </si>
  <si>
    <t>Weight DMA 비율 (%)</t>
    <phoneticPr fontId="1" type="noConversion"/>
  </si>
  <si>
    <t>Input + Weight DMA 비율 (%)</t>
    <phoneticPr fontId="1" type="noConversion"/>
  </si>
  <si>
    <t>Utilization (%)</t>
    <phoneticPr fontId="1" type="noConversion"/>
  </si>
  <si>
    <t>Compute 비율 (%) (Kernel 시간 기준)</t>
    <phoneticPr fontId="1" type="noConversion"/>
  </si>
  <si>
    <t>평균 E2E Speedup</t>
    <phoneticPr fontId="1" type="noConversion"/>
  </si>
  <si>
    <t>평균 Pure Compute Speedup</t>
    <phoneticPr fontId="1" type="noConversion"/>
  </si>
  <si>
    <t>Type</t>
    <phoneticPr fontId="1" type="noConversion"/>
  </si>
  <si>
    <t>Avg Speedup</t>
    <phoneticPr fontId="1" type="noConversion"/>
  </si>
  <si>
    <t>Avg AI</t>
    <phoneticPr fontId="1" type="noConversion"/>
  </si>
  <si>
    <t>Memory Traffic</t>
    <phoneticPr fontId="1" type="noConversion"/>
  </si>
  <si>
    <t>Memory Time 비율 (%)</t>
    <phoneticPr fontId="1" type="noConversion"/>
  </si>
  <si>
    <t>Avg Memory Time Ratio (%)</t>
    <phoneticPr fontId="1" type="noConversion"/>
  </si>
  <si>
    <t>Avg Util (%)</t>
    <phoneticPr fontId="1" type="noConversion"/>
  </si>
  <si>
    <t>Avg Arithmetic Intensity</t>
    <phoneticPr fontId="1" type="noConversion"/>
  </si>
  <si>
    <t>Peak Utilization</t>
    <phoneticPr fontId="1" type="noConversion"/>
  </si>
  <si>
    <t>Avg Utilization</t>
    <phoneticPr fontId="1" type="noConversion"/>
  </si>
  <si>
    <t>Avg Host Overhead Ratio (%)</t>
    <phoneticPr fontId="1" type="noConversion"/>
  </si>
  <si>
    <t>Memory Overhead Time (s)</t>
    <phoneticPr fontId="1" type="noConversion"/>
  </si>
  <si>
    <t>Host Overhead Time (s)</t>
    <phoneticPr fontId="1" type="noConversion"/>
  </si>
  <si>
    <t>Host Overhead 비율 (%)</t>
    <phoneticPr fontId="1" type="noConversion"/>
  </si>
  <si>
    <t>Memory per MAC</t>
    <phoneticPr fontId="1" type="noConversion"/>
  </si>
  <si>
    <t>Weighted Avg Repeat</t>
    <phoneticPr fontId="1" type="noConversion"/>
  </si>
  <si>
    <t>Repeat_x_MAC</t>
    <phoneticPr fontId="1" type="noConversion"/>
  </si>
  <si>
    <t>Avg Pure HW Ratio (%)</t>
    <phoneticPr fontId="1" type="noConversion"/>
  </si>
  <si>
    <t>Measured Bandwidth</t>
    <phoneticPr fontId="1" type="noConversion"/>
  </si>
  <si>
    <t>Ridge Point AI (Theoretical)</t>
    <phoneticPr fontId="1" type="noConversion"/>
  </si>
  <si>
    <t>Ridge Point AI (Effective)</t>
    <phoneticPr fontId="1" type="noConversion"/>
  </si>
  <si>
    <t>Theoretical Bandwidth (DDR 기반)</t>
    <phoneticPr fontId="1" type="noConversion"/>
  </si>
  <si>
    <t>Bandwidth 비율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</si>
</sst>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family val="2"/>
        <charset val="129"/>
        <scheme val="minor"/>
      </font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17A36C-3CCE-CA4F-9A49-5F9EF8AEB8D9}" name="표1_5" displayName="표1_5" ref="A1:AQ35" totalsRowShown="0">
  <autoFilter ref="A1:AQ35" xr:uid="{3617A36C-3CCE-CA4F-9A49-5F9EF8AEB8D9}"/>
  <tableColumns count="43">
    <tableColumn id="1" xr3:uid="{42E70E10-7683-1347-A99F-1D93B8B4EB2E}" name="Block" dataDxfId="1"/>
    <tableColumn id="2" xr3:uid="{A6DF5123-E978-D44D-B9D9-5192339A72FD}" name="#"/>
    <tableColumn id="3" xr3:uid="{88AA6014-B1E0-8647-B927-1517178B1AB2}" name="종류" dataDxfId="0"/>
    <tableColumn id="4" xr3:uid="{2086BFF4-3220-FE4B-9AE9-3AC22C0D7A25}" name="H"/>
    <tableColumn id="5" xr3:uid="{D2E15639-1C37-7F40-8E2D-75820C5FE274}" name="W"/>
    <tableColumn id="6" xr3:uid="{AFDDF1C8-7A21-9146-9ABB-76413129411A}" name="S">
      <calculatedColumnFormula>D2*E2</calculatedColumnFormula>
    </tableColumn>
    <tableColumn id="7" xr3:uid="{AEC16239-D180-9243-8C78-7D2ABEA35BD0}" name="IC"/>
    <tableColumn id="8" xr3:uid="{ED47B6E0-8D83-0C44-A5F8-045A8144507A}" name="OC"/>
    <tableColumn id="9" xr3:uid="{0CD928B6-CDAD-4B4C-B2F5-E6E6FE028929}" name="MAC 수">
      <calculatedColumnFormula>F2*G2*H2</calculatedColumnFormula>
    </tableColumn>
    <tableColumn id="10" xr3:uid="{2CAB1A43-5D5B-0D4B-A4D6-742886ED861E}" name="Repeat">
      <calculatedColumnFormula>ROUNDUP(F2/L2,0)*ROUNDUP(G2/M2,0)*ROUNDUP(H2/N2,0)</calculatedColumnFormula>
    </tableColumn>
    <tableColumn id="39" xr3:uid="{C52393B4-7DAF-1F4D-9559-135E87BD8A1E}" name="Repeat_x_MAC">
      <calculatedColumnFormula>표1_5[[#This Row],[MAC 수]]*표1_5[[#This Row],[Repeat]]</calculatedColumnFormula>
    </tableColumn>
    <tableColumn id="11" xr3:uid="{78DBFAD8-B34A-D141-A998-C8BDF605170F}" name="tile_S"/>
    <tableColumn id="12" xr3:uid="{06B0FE52-7339-6B4C-9182-69BB2455B770}" name="tile_IC"/>
    <tableColumn id="13" xr3:uid="{2853423E-12B9-324D-BEDC-59DCAEFD46AE}" name="tile_OC"/>
    <tableColumn id="14" xr3:uid="{F3C71F31-B685-9441-91F2-A47586B0AFE6}" name="Theoretical Peak MAC/s">
      <calculatedColumnFormula>8*4*100000000</calculatedColumnFormula>
    </tableColumn>
    <tableColumn id="16" xr3:uid="{3EC3EBDA-AF41-A548-8F70-FFC2F5CD5518}" name="Input SRAM Depth (&lt;=30000)">
      <calculatedColumnFormula>표1_5[[#This Row],[tile_S]]*CEILING((표1_5[[#This Row],[tile_IC]]/8),1)</calculatedColumnFormula>
    </tableColumn>
    <tableColumn id="17" xr3:uid="{FD34CC6A-0573-934D-A28F-3BB476DC8714}" name="Psum SRAM Depth (&lt;= 15000)">
      <calculatedColumnFormula>표1_5[[#This Row],[tile_S]]*CEILING(표1_5[[#This Row],[tile_OC]]/4,1)</calculatedColumnFormula>
    </tableColumn>
    <tableColumn id="25" xr3:uid="{3CFBB0D6-749C-6146-AED4-B2702BCEFAE9}" name="Weight SRAM Depth (&lt;= 30000)">
      <calculatedColumnFormula>표1_5[[#This Row],[tile_IC]]*CEILING((표1_5[[#This Row],[tile_OC]]/4),1)</calculatedColumnFormula>
    </tableColumn>
    <tableColumn id="20" xr3:uid="{F8FF2144-0EFE-E640-AC82-6C6CC7B121AF}" name="CPU reference time(s)"/>
    <tableColumn id="26" xr3:uid="{B0FF93C9-7F71-D447-B74D-171A44BCBC62}" name="CPU Throughput">
      <calculatedColumnFormula>표1_5[[#This Row],[MAC 수]]/표1_5[[#This Row],[CPU reference time(s)]]</calculatedColumnFormula>
    </tableColumn>
    <tableColumn id="29" xr3:uid="{2A3725A4-B195-2D49-830A-02F4A9F78BCF}" name="FPGA End-to-End time(s)"/>
    <tableColumn id="27" xr3:uid="{41E6C5CD-8AFA-C249-B65C-88CC6EB9DEDD}" name="FPGA End-to-End Throughpout">
      <calculatedColumnFormula>표1_5[[#This Row],[MAC 수]]/표1_5[[#This Row],[FPGA End-to-End time(s)]]</calculatedColumnFormula>
    </tableColumn>
    <tableColumn id="28" xr3:uid="{DAF90FC6-22C6-924A-B32B-81840C7D7A99}" name="Pure HW compute time(s)"/>
    <tableColumn id="18" xr3:uid="{E83F04B1-22F9-AB4E-AA3A-41BA2F614829}" name="FPGA Pure Compute Throughput">
      <calculatedColumnFormula>표1_5[[#This Row],[MAC 수]]/표1_5[[#This Row],[Pure HW compute time(s)]]</calculatedColumnFormula>
    </tableColumn>
    <tableColumn id="33" xr3:uid="{59FBB468-1279-5846-93AE-B5C7B4C931D0}" name="Kernel Time (s)"/>
    <tableColumn id="24" xr3:uid="{3C261580-EBC9-5E46-B0CD-369C37EE59FC}" name="Kernel Throughput">
      <calculatedColumnFormula>표1_5[[#This Row],[MAC 수]]/표1_5[[#This Row],[Kernel Time (s)]]</calculatedColumnFormula>
    </tableColumn>
    <tableColumn id="22" xr3:uid="{E055527D-5BAD-0C43-84E2-C81B98341E7D}" name="Utilization (%)">
      <calculatedColumnFormula>표1_5[[#This Row],[FPGA Pure Compute Throughput]]/표1_5[[#This Row],[Theoretical Peak MAC/s]]*100</calculatedColumnFormula>
    </tableColumn>
    <tableColumn id="21" xr3:uid="{A56A657F-012E-364B-A685-16155E50ACE1}" name="Input DMA time (s)"/>
    <tableColumn id="34" xr3:uid="{656C7112-C1CA-CF4E-835E-13CF2706499A}" name="Weight DMA time (s)"/>
    <tableColumn id="44" xr3:uid="{E3287815-002D-F04E-95DC-117A677E63E1}" name="Memory Overhead Time (s)">
      <calculatedColumnFormula>표1_5[[#This Row],[Kernel Time (s)]]+표1_5[[#This Row],[Input DMA time (s)]]+표1_5[[#This Row],[Weight DMA time (s)]]-표1_5[[#This Row],[Pure HW compute time(s)]]</calculatedColumnFormula>
    </tableColumn>
    <tableColumn id="15" xr3:uid="{2C818D95-33EA-B043-AC60-D1D97D520F49}" name="Host Overhead Time (s)">
      <calculatedColumnFormula>표1_5[[#This Row],[FPGA End-to-End time(s)]]-(표1_5[[#This Row],[Kernel Time (s)]]+표1_5[[#This Row],[Input DMA time (s)]]+표1_5[[#This Row],[Weight DMA time (s)]])</calculatedColumnFormula>
    </tableColumn>
    <tableColumn id="35" xr3:uid="{741E40ED-7446-BF42-95BA-9B5147B8931D}" name="Input DMA 비율 (%)">
      <calculatedColumnFormula>표1_5[[#This Row],[Input DMA time (s)]]/표1_5[[#This Row],[FPGA End-to-End time(s)]]*100</calculatedColumnFormula>
    </tableColumn>
    <tableColumn id="36" xr3:uid="{9D5083BA-70F8-FD44-91F5-1200E694B4CE}" name="Weight DMA 비율 (%)">
      <calculatedColumnFormula>표1_5[[#This Row],[Weight DMA time (s)]]/표1_5[[#This Row],[FPGA End-to-End time(s)]]*100</calculatedColumnFormula>
    </tableColumn>
    <tableColumn id="37" xr3:uid="{3DDF6699-D657-1C4F-BDBE-9F360ECD7885}" name="Input + Weight DMA 비율 (%)">
      <calculatedColumnFormula>표1_5[[#This Row],[Input DMA 비율 (%)]]+표1_5[[#This Row],[Weight DMA 비율 (%)]]</calculatedColumnFormula>
    </tableColumn>
    <tableColumn id="42" xr3:uid="{7F1BFEBC-F136-844F-B6D7-CB9D2D3435E7}" name="Memory Time 비율 (%)">
      <calculatedColumnFormula>(표1_5[[#This Row],[Input DMA time (s)]]+표1_5[[#This Row],[Weight DMA time (s)]]+표1_5[[#This Row],[Kernel Time (s)]]-표1_5[[#This Row],[Pure HW compute time(s)]])/표1_5[[#This Row],[FPGA End-to-End time(s)]]*100</calculatedColumnFormula>
    </tableColumn>
    <tableColumn id="38" xr3:uid="{25DDBA0D-3C61-1145-9374-5E6ED4029FA8}" name="Host Overhead 비율 (%)">
      <calculatedColumnFormula>표1_5[[#This Row],[Host Overhead Time (s)]]/표1_5[[#This Row],[FPGA End-to-End time(s)]]*100</calculatedColumnFormula>
    </tableColumn>
    <tableColumn id="30" xr3:uid="{1F0BB2A8-013D-E641-A4DD-D5776E4BC014}" name="Compute 비율 (%) (Kernel 시간 기준)">
      <calculatedColumnFormula>표1_5[[#This Row],[Pure HW compute time(s)]]/표1_5[[#This Row],[Kernel Time (s)]]*100</calculatedColumnFormula>
    </tableColumn>
    <tableColumn id="43" xr3:uid="{A592DC9D-5758-2A44-A63E-7C3371A5BBE2}" name="Speedup (End-to-End)">
      <calculatedColumnFormula>표1_5[[#This Row],[CPU reference time(s)]]/표1_5[[#This Row],[FPGA End-to-End time(s)]]</calculatedColumnFormula>
    </tableColumn>
    <tableColumn id="31" xr3:uid="{065EED3D-8122-BA4D-BBB2-E4E9E4293285}" name="Speedup (Pure Compute)">
      <calculatedColumnFormula>표1_5[[#This Row],[CPU reference time(s)]]/표1_5[[#This Row],[Pure HW compute time(s)]]</calculatedColumnFormula>
    </tableColumn>
    <tableColumn id="40" xr3:uid="{9547C2BD-C471-B245-B4DC-650236B48FAD}" name="Memory Traffic">
      <calculatedColumnFormula>(4*(표1_5[[#This Row],[S]]*표1_5[[#This Row],[IC]])+4*(표1_5[[#This Row],[IC]]*표1_5[[#This Row],[OC]])+4*(표1_5[[#This Row],[S]]*표1_5[[#This Row],[OC]]))</calculatedColumnFormula>
    </tableColumn>
    <tableColumn id="19" xr3:uid="{4E1114E0-9D6A-2A42-8300-3F0E487ED096}" name="Arithmetic Intensity">
      <calculatedColumnFormula>표1_5[[#This Row],[MAC 수]]/표1_5[[#This Row],[Memory Traffic]]</calculatedColumnFormula>
    </tableColumn>
    <tableColumn id="23" xr3:uid="{B5A80DCD-0A49-0442-B153-75DE3CE9E62A}" name="Power"/>
    <tableColumn id="32" xr3:uid="{E02013BF-5E72-574D-9C2F-8B24D567D0C5}" name="Performance/Watt"/>
  </tableColumns>
  <tableStyleInfo name="TableStyleDark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89191CA-3A90-124F-B7C8-E1A2F3EDD0CB}" name="표6" displayName="표6" ref="A1:J2" totalsRowShown="0">
  <autoFilter ref="A1:J2" xr:uid="{D89191CA-3A90-124F-B7C8-E1A2F3EDD0CB}"/>
  <tableColumns count="10">
    <tableColumn id="1" xr3:uid="{F00E45D3-D6E5-DF49-B01F-48E92DF2422A}" name="평균 E2E Speedup">
      <calculatedColumnFormula>SUM(표1_5[CPU reference time(s)])/SUM(표1_5[FPGA End-to-End time(s)])</calculatedColumnFormula>
    </tableColumn>
    <tableColumn id="2" xr3:uid="{0595B36E-8FDD-374C-B117-2469B8C26621}" name="평균 Pure Compute Speedup">
      <calculatedColumnFormula>SUM(표1_5[CPU reference time(s)])/SUM(표1_5[Pure HW compute time(s)])</calculatedColumnFormula>
    </tableColumn>
    <tableColumn id="3" xr3:uid="{B34381BC-7969-2E46-BC52-7198888A65F9}" name="Avg Utilization">
      <calculatedColumnFormula>SUM(표1_5[MAC 수])/(표1_5[[#This Row],[Theoretical Peak MAC/s]]*SUM(표1_5[Pure HW compute time(s)]))*100</calculatedColumnFormula>
    </tableColumn>
    <tableColumn id="4" xr3:uid="{0B56D19F-22F1-4647-BA64-E0473B460819}" name="Peak Utilization">
      <calculatedColumnFormula>MAX(표1_5[Utilization (%)])</calculatedColumnFormula>
    </tableColumn>
    <tableColumn id="5" xr3:uid="{19A398F8-526A-4940-BC30-7D0D847A66E6}" name="Avg AI">
      <calculatedColumnFormula>SUM(표1_5[MAC 수])/SUM(표1_5[Memory Traffic])</calculatedColumnFormula>
    </tableColumn>
    <tableColumn id="6" xr3:uid="{FCFA347D-AC82-BF40-BC5B-476EFC2C7FEB}" name="Ridge Point AI (Effective)">
      <calculatedColumnFormula>표1_5[[#This Row],[Theoretical Peak MAC/s]]/(SUM(표1_5[Memory Traffic])/SUM(표1_5[Memory Overhead Time (s)]))</calculatedColumnFormula>
    </tableColumn>
    <tableColumn id="7" xr3:uid="{526471D8-57BC-E043-AB3C-3C0FC1A3D9D5}" name="Measured Bandwidth">
      <calculatedColumnFormula>(SUM(표1_5[Memory Traffic])/SUM(표1_5[Memory Overhead Time (s)]))</calculatedColumnFormula>
    </tableColumn>
    <tableColumn id="8" xr3:uid="{B47BEC58-61A6-8544-BCF2-B1B6A991BE3D}" name="Theoretical Bandwidth (DDR 기반)">
      <calculatedColumnFormula>(16)*(533*10^6)*(2)/8</calculatedColumnFormula>
    </tableColumn>
    <tableColumn id="11" xr3:uid="{737ECD59-0DF1-1443-93B7-F9041DFF3BE9}" name="Bandwidth 비율">
      <calculatedColumnFormula>표6[[#This Row],[Measured Bandwidth]]/표6[[#This Row],[Theoretical Bandwidth (DDR 기반)]]*100</calculatedColumnFormula>
    </tableColumn>
    <tableColumn id="9" xr3:uid="{BDC10A28-F0D5-5443-94BA-EBBBFCC33333}" name="Ridge Point AI (Theoretical)">
      <calculatedColumnFormula>표1_5[[#This Row],[Theoretical Peak MAC/s]]/표6[[#This Row],[Theoretical Bandwidth (DDR 기반)]]</calculatedColumnFormula>
    </tableColumn>
  </tableColumns>
  <tableStyleInfo name="TableStyleDark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C1D9673-25C9-9945-A206-87E72C1CBA13}" name="표7" displayName="표7" ref="A1:I4" totalsRowShown="0">
  <autoFilter ref="A1:I4" xr:uid="{DC1D9673-25C9-9945-A206-87E72C1CBA13}"/>
  <tableColumns count="9">
    <tableColumn id="1" xr3:uid="{3E6B8D64-B61F-584E-AB60-7AC5B0D07790}" name="Type"/>
    <tableColumn id="2" xr3:uid="{40F48CB6-3C4E-1043-B947-68121D0A5027}" name="Avg Speedup"/>
    <tableColumn id="3" xr3:uid="{1F9B8528-0DCC-C742-A6C0-35226B0E4579}" name="Avg Util (%)"/>
    <tableColumn id="4" xr3:uid="{2FBF7ACC-4FF8-1A41-B08D-787AAC31021D}" name="Avg Memory Time Ratio (%)">
      <calculatedColumnFormula>SUMIF(표1_5[종류], "Expand PW", 표1_5[Memory Overhead Time (s)])/SUMIF(표1_5[종류], "Expand PW", 표1_5[FPGA End-to-End time(s)]) *100</calculatedColumnFormula>
    </tableColumn>
    <tableColumn id="7" xr3:uid="{0294A360-8C71-DE42-AAD1-321B141458D3}" name="Avg Host Overhead Ratio (%)"/>
    <tableColumn id="8" xr3:uid="{3FD28D6F-01AD-5F43-A7B8-4A6AE045FCEC}" name="Avg Pure HW Ratio (%)">
      <calculatedColumnFormula>SUMIF(표1_5[종류], "Expand PW", 표1_5[Pure HW compute time(s)])/SUMIF(표1_5[종류], "Expand PW", 표1_5[FPGA End-to-End time(s)]) *100</calculatedColumnFormula>
    </tableColumn>
    <tableColumn id="5" xr3:uid="{345CBDB7-B391-1447-A80B-2482306089C8}" name="Avg Arithmetic Intensity"/>
    <tableColumn id="9" xr3:uid="{9F45F212-67CB-6B4B-B098-FA45B287B5B0}" name="Memory per MAC"/>
    <tableColumn id="10" xr3:uid="{88CE0A87-F044-7644-AD30-9F14CEA84811}" name="Weighted Avg Repeat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CB54F-C858-3440-A489-FD6ADF53D89C}">
  <dimension ref="A1:AQ35"/>
  <sheetViews>
    <sheetView tabSelected="1" topLeftCell="AA1" workbookViewId="0">
      <selection activeCell="AL35" sqref="AL35"/>
    </sheetView>
  </sheetViews>
  <sheetFormatPr baseColWidth="10" defaultRowHeight="18"/>
  <cols>
    <col min="11" max="11" width="15.42578125" customWidth="1"/>
    <col min="13" max="13" width="13.28515625" customWidth="1"/>
    <col min="15" max="15" width="23.5703125" customWidth="1"/>
    <col min="16" max="16" width="15.85546875" customWidth="1"/>
    <col min="19" max="19" width="12.85546875" customWidth="1"/>
    <col min="20" max="20" width="23.28515625" customWidth="1"/>
    <col min="21" max="21" width="18.7109375" customWidth="1"/>
    <col min="22" max="22" width="24" customWidth="1"/>
    <col min="23" max="24" width="27.28515625" customWidth="1"/>
    <col min="25" max="25" width="16.140625" customWidth="1"/>
    <col min="26" max="26" width="16.5703125" customWidth="1"/>
    <col min="27" max="27" width="16.28515625" customWidth="1"/>
    <col min="28" max="28" width="22.140625" customWidth="1"/>
    <col min="29" max="29" width="20.140625" customWidth="1"/>
    <col min="30" max="31" width="23.28515625" customWidth="1"/>
    <col min="32" max="34" width="20.140625" customWidth="1"/>
    <col min="35" max="36" width="20.28515625" customWidth="1"/>
    <col min="37" max="37" width="19.42578125" customWidth="1"/>
    <col min="38" max="38" width="18.140625" customWidth="1"/>
    <col min="39" max="40" width="20.28515625" customWidth="1"/>
    <col min="41" max="41" width="19" customWidth="1"/>
    <col min="43" max="43" width="17.42578125" customWidth="1"/>
  </cols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21</v>
      </c>
      <c r="J1" t="s">
        <v>20</v>
      </c>
      <c r="K1" t="s">
        <v>61</v>
      </c>
      <c r="L1" t="s">
        <v>8</v>
      </c>
      <c r="M1" t="s">
        <v>9</v>
      </c>
      <c r="N1" t="s">
        <v>10</v>
      </c>
      <c r="O1" t="s">
        <v>29</v>
      </c>
      <c r="P1" t="s">
        <v>18</v>
      </c>
      <c r="Q1" t="s">
        <v>17</v>
      </c>
      <c r="R1" t="s">
        <v>19</v>
      </c>
      <c r="S1" t="s">
        <v>22</v>
      </c>
      <c r="T1" t="s">
        <v>25</v>
      </c>
      <c r="U1" t="s">
        <v>23</v>
      </c>
      <c r="V1" t="s">
        <v>26</v>
      </c>
      <c r="W1" t="s">
        <v>24</v>
      </c>
      <c r="X1" t="s">
        <v>27</v>
      </c>
      <c r="Y1" t="s">
        <v>34</v>
      </c>
      <c r="Z1" t="s">
        <v>35</v>
      </c>
      <c r="AA1" t="s">
        <v>41</v>
      </c>
      <c r="AB1" t="s">
        <v>37</v>
      </c>
      <c r="AC1" t="s">
        <v>38</v>
      </c>
      <c r="AD1" t="s">
        <v>56</v>
      </c>
      <c r="AE1" t="s">
        <v>57</v>
      </c>
      <c r="AF1" t="s">
        <v>36</v>
      </c>
      <c r="AG1" t="s">
        <v>39</v>
      </c>
      <c r="AH1" t="s">
        <v>40</v>
      </c>
      <c r="AI1" t="s">
        <v>49</v>
      </c>
      <c r="AJ1" t="s">
        <v>58</v>
      </c>
      <c r="AK1" t="s">
        <v>42</v>
      </c>
      <c r="AL1" t="s">
        <v>32</v>
      </c>
      <c r="AM1" t="s">
        <v>33</v>
      </c>
      <c r="AN1" t="s">
        <v>48</v>
      </c>
      <c r="AO1" t="s">
        <v>31</v>
      </c>
      <c r="AP1" t="s">
        <v>28</v>
      </c>
      <c r="AQ1" t="s">
        <v>30</v>
      </c>
    </row>
    <row r="2" spans="1:43">
      <c r="A2" s="1">
        <v>1</v>
      </c>
      <c r="B2">
        <v>1</v>
      </c>
      <c r="C2" t="s">
        <v>12</v>
      </c>
      <c r="D2">
        <v>112</v>
      </c>
      <c r="E2">
        <v>112</v>
      </c>
      <c r="F2">
        <f>D2*E2</f>
        <v>12544</v>
      </c>
      <c r="G2">
        <v>32</v>
      </c>
      <c r="H2">
        <v>16</v>
      </c>
      <c r="I2">
        <f t="shared" ref="I2:I35" si="0">F2*G2*H2</f>
        <v>6422528</v>
      </c>
      <c r="J2">
        <f t="shared" ref="J2:J35" si="1">ROUNDUP(F2/L2,0)*ROUNDUP(G2/M2,0)*ROUNDUP(H2/N2,0)</f>
        <v>4</v>
      </c>
      <c r="K2">
        <f>표1_5[[#This Row],[MAC 수]]*표1_5[[#This Row],[Repeat]]</f>
        <v>25690112</v>
      </c>
      <c r="L2">
        <v>3750</v>
      </c>
      <c r="M2">
        <v>32</v>
      </c>
      <c r="N2">
        <v>16</v>
      </c>
      <c r="O2">
        <f>8*4*100000000</f>
        <v>3200000000</v>
      </c>
      <c r="P2">
        <f>표1_5[[#This Row],[tile_S]]*CEILING((표1_5[[#This Row],[tile_IC]]/8),1)</f>
        <v>15000</v>
      </c>
      <c r="Q2">
        <f>표1_5[[#This Row],[tile_S]]*CEILING(표1_5[[#This Row],[tile_OC]]/4,1)</f>
        <v>15000</v>
      </c>
      <c r="R2">
        <f>표1_5[[#This Row],[tile_IC]]*CEILING((표1_5[[#This Row],[tile_OC]]/4),1)</f>
        <v>128</v>
      </c>
      <c r="S2">
        <v>0.100025</v>
      </c>
      <c r="T2">
        <f>표1_5[[#This Row],[MAC 수]]/표1_5[[#This Row],[CPU reference time(s)]]</f>
        <v>64209227.69307673</v>
      </c>
      <c r="U2">
        <v>0.106381</v>
      </c>
      <c r="V2">
        <f>표1_5[[#This Row],[MAC 수]]/표1_5[[#This Row],[FPGA End-to-End time(s)]]</f>
        <v>60372886.135682121</v>
      </c>
      <c r="W2">
        <v>2.016E-3</v>
      </c>
      <c r="X2">
        <f>표1_5[[#This Row],[MAC 수]]/표1_5[[#This Row],[Pure HW compute time(s)]]</f>
        <v>3185777777.7777777</v>
      </c>
      <c r="Y2">
        <v>1.8863000000000001E-2</v>
      </c>
      <c r="Z2">
        <f>표1_5[[#This Row],[MAC 수]]/표1_5[[#This Row],[Kernel Time (s)]]</f>
        <v>340482850.02385622</v>
      </c>
      <c r="AA2">
        <f>표1_5[[#This Row],[FPGA Pure Compute Throughput]]/표1_5[[#This Row],[Theoretical Peak MAC/s]]*100</f>
        <v>99.555555555555557</v>
      </c>
      <c r="AB2">
        <v>4.3068000000000002E-2</v>
      </c>
      <c r="AC2">
        <v>6.9909999999999998E-3</v>
      </c>
      <c r="AD2">
        <f>표1_5[[#This Row],[Kernel Time (s)]]+표1_5[[#This Row],[Input DMA time (s)]]+표1_5[[#This Row],[Weight DMA time (s)]]-표1_5[[#This Row],[Pure HW compute time(s)]]</f>
        <v>6.6905999999999993E-2</v>
      </c>
      <c r="AE2">
        <f>표1_5[[#This Row],[FPGA End-to-End time(s)]]-(표1_5[[#This Row],[Kernel Time (s)]]+표1_5[[#This Row],[Input DMA time (s)]]+표1_5[[#This Row],[Weight DMA time (s)]])</f>
        <v>3.7459000000000006E-2</v>
      </c>
      <c r="AF2">
        <f>표1_5[[#This Row],[Input DMA time (s)]]/표1_5[[#This Row],[FPGA End-to-End time(s)]]*100</f>
        <v>40.48467301491808</v>
      </c>
      <c r="AG2">
        <f>표1_5[[#This Row],[Weight DMA time (s)]]/표1_5[[#This Row],[FPGA End-to-End time(s)]]*100</f>
        <v>6.5716622329175314</v>
      </c>
      <c r="AH2">
        <f>표1_5[[#This Row],[Input DMA 비율 (%)]]+표1_5[[#This Row],[Weight DMA 비율 (%)]]</f>
        <v>47.056335247835612</v>
      </c>
      <c r="AI2">
        <f>(표1_5[[#This Row],[Input DMA time (s)]]+표1_5[[#This Row],[Weight DMA time (s)]]+표1_5[[#This Row],[Kernel Time (s)]]-표1_5[[#This Row],[Pure HW compute time(s)]])/표1_5[[#This Row],[FPGA End-to-End time(s)]]*100</f>
        <v>62.892809806262385</v>
      </c>
      <c r="AJ2">
        <f>표1_5[[#This Row],[Host Overhead Time (s)]]/표1_5[[#This Row],[FPGA End-to-End time(s)]]*100</f>
        <v>35.212114945337987</v>
      </c>
      <c r="AK2">
        <f>표1_5[[#This Row],[Pure HW compute time(s)]]/표1_5[[#This Row],[Kernel Time (s)]]*100</f>
        <v>10.687589460849281</v>
      </c>
      <c r="AL2">
        <f>표1_5[[#This Row],[CPU reference time(s)]]/표1_5[[#This Row],[FPGA End-to-End time(s)]]</f>
        <v>0.94025248869628975</v>
      </c>
      <c r="AM2">
        <f>표1_5[[#This Row],[CPU reference time(s)]]/표1_5[[#This Row],[Pure HW compute time(s)]]</f>
        <v>49.615575396825399</v>
      </c>
      <c r="AN2">
        <f>(4*(표1_5[[#This Row],[S]]*표1_5[[#This Row],[IC]])+4*(표1_5[[#This Row],[IC]]*표1_5[[#This Row],[OC]])+4*(표1_5[[#This Row],[S]]*표1_5[[#This Row],[OC]]))</f>
        <v>2410496</v>
      </c>
      <c r="AO2">
        <f>표1_5[[#This Row],[MAC 수]]/표1_5[[#This Row],[Memory Traffic]]</f>
        <v>2.6644010195412067</v>
      </c>
    </row>
    <row r="3" spans="1:43">
      <c r="A3" s="1">
        <v>2</v>
      </c>
      <c r="B3">
        <v>2</v>
      </c>
      <c r="C3" t="s">
        <v>14</v>
      </c>
      <c r="D3">
        <v>112</v>
      </c>
      <c r="E3">
        <v>112</v>
      </c>
      <c r="F3">
        <f t="shared" ref="F3:F35" si="2">D3*E3</f>
        <v>12544</v>
      </c>
      <c r="G3">
        <v>16</v>
      </c>
      <c r="H3">
        <v>96</v>
      </c>
      <c r="I3">
        <f t="shared" si="0"/>
        <v>19267584</v>
      </c>
      <c r="J3">
        <f t="shared" si="1"/>
        <v>21</v>
      </c>
      <c r="K3">
        <f>표1_5[[#This Row],[MAC 수]]*표1_5[[#This Row],[Repeat]]</f>
        <v>404619264</v>
      </c>
      <c r="L3">
        <v>625</v>
      </c>
      <c r="M3">
        <v>16</v>
      </c>
      <c r="N3">
        <v>96</v>
      </c>
      <c r="O3">
        <f t="shared" ref="O3:O35" si="3">8*4*100000000</f>
        <v>3200000000</v>
      </c>
      <c r="P3">
        <f>표1_5[[#This Row],[tile_S]]*CEILING((표1_5[[#This Row],[tile_IC]]/8),1)</f>
        <v>1250</v>
      </c>
      <c r="Q3">
        <f>표1_5[[#This Row],[tile_S]]*CEILING(표1_5[[#This Row],[tile_OC]]/4,1)</f>
        <v>15000</v>
      </c>
      <c r="R3">
        <f>표1_5[[#This Row],[tile_IC]]*CEILING((표1_5[[#This Row],[tile_OC]]/4),1)</f>
        <v>384</v>
      </c>
      <c r="S3">
        <v>0.30317499999999997</v>
      </c>
      <c r="T3">
        <f>표1_5[[#This Row],[MAC 수]]/표1_5[[#This Row],[CPU reference time(s)]]</f>
        <v>63552680.79492043</v>
      </c>
      <c r="U3">
        <v>0.42163800000000001</v>
      </c>
      <c r="V3">
        <f>표1_5[[#This Row],[MAC 수]]/표1_5[[#This Row],[FPGA End-to-End time(s)]]</f>
        <v>45696981.771092735</v>
      </c>
      <c r="W3">
        <v>6.1619999999999999E-3</v>
      </c>
      <c r="X3">
        <f>표1_5[[#This Row],[MAC 수]]/표1_5[[#This Row],[Pure HW compute time(s)]]</f>
        <v>3126839337.8773127</v>
      </c>
      <c r="Y3">
        <v>0.121036</v>
      </c>
      <c r="Z3">
        <f>표1_5[[#This Row],[MAC 수]]/표1_5[[#This Row],[Kernel Time (s)]]</f>
        <v>159188869.42727783</v>
      </c>
      <c r="AA3">
        <f>표1_5[[#This Row],[FPGA Pure Compute Throughput]]/표1_5[[#This Row],[Theoretical Peak MAC/s]]*100</f>
        <v>97.713729308666018</v>
      </c>
      <c r="AB3">
        <v>5.1591999999999999E-2</v>
      </c>
      <c r="AC3">
        <v>3.4618000000000003E-2</v>
      </c>
      <c r="AD3">
        <f>표1_5[[#This Row],[Kernel Time (s)]]+표1_5[[#This Row],[Input DMA time (s)]]+표1_5[[#This Row],[Weight DMA time (s)]]-표1_5[[#This Row],[Pure HW compute time(s)]]</f>
        <v>0.20108400000000001</v>
      </c>
      <c r="AE3">
        <f>표1_5[[#This Row],[FPGA End-to-End time(s)]]-(표1_5[[#This Row],[Kernel Time (s)]]+표1_5[[#This Row],[Input DMA time (s)]]+표1_5[[#This Row],[Weight DMA time (s)]])</f>
        <v>0.214392</v>
      </c>
      <c r="AF3">
        <f>표1_5[[#This Row],[Input DMA time (s)]]/표1_5[[#This Row],[FPGA End-to-End time(s)]]*100</f>
        <v>12.236088777576972</v>
      </c>
      <c r="AG3">
        <f>표1_5[[#This Row],[Weight DMA time (s)]]/표1_5[[#This Row],[FPGA End-to-End time(s)]]*100</f>
        <v>8.2103605462505751</v>
      </c>
      <c r="AH3">
        <f>표1_5[[#This Row],[Input DMA 비율 (%)]]+표1_5[[#This Row],[Weight DMA 비율 (%)]]</f>
        <v>20.446449323827547</v>
      </c>
      <c r="AI3">
        <f>(표1_5[[#This Row],[Input DMA time (s)]]+표1_5[[#This Row],[Weight DMA time (s)]]+표1_5[[#This Row],[Kernel Time (s)]]-표1_5[[#This Row],[Pure HW compute time(s)]])/표1_5[[#This Row],[FPGA End-to-End time(s)]]*100</f>
        <v>47.691147382351687</v>
      </c>
      <c r="AJ3">
        <f>표1_5[[#This Row],[Host Overhead Time (s)]]/표1_5[[#This Row],[FPGA End-to-End time(s)]]*100</f>
        <v>50.847409389096811</v>
      </c>
      <c r="AK3">
        <f>표1_5[[#This Row],[Pure HW compute time(s)]]/표1_5[[#This Row],[Kernel Time (s)]]*100</f>
        <v>5.0910472917148608</v>
      </c>
      <c r="AL3">
        <f>표1_5[[#This Row],[CPU reference time(s)]]/표1_5[[#This Row],[FPGA End-to-End time(s)]]</f>
        <v>0.71904097827994617</v>
      </c>
      <c r="AM3">
        <f>표1_5[[#This Row],[CPU reference time(s)]]/표1_5[[#This Row],[Pure HW compute time(s)]]</f>
        <v>49.200746510873088</v>
      </c>
      <c r="AN3">
        <f>(4*(표1_5[[#This Row],[S]]*표1_5[[#This Row],[IC]])+4*(표1_5[[#This Row],[IC]]*표1_5[[#This Row],[OC]])+4*(표1_5[[#This Row],[S]]*표1_5[[#This Row],[OC]]))</f>
        <v>5625856</v>
      </c>
      <c r="AO3">
        <f>표1_5[[#This Row],[MAC 수]]/표1_5[[#This Row],[Memory Traffic]]</f>
        <v>3.4248270840917363</v>
      </c>
    </row>
    <row r="4" spans="1:43">
      <c r="A4" s="1"/>
      <c r="B4">
        <v>3</v>
      </c>
      <c r="C4" t="s">
        <v>12</v>
      </c>
      <c r="D4">
        <v>56</v>
      </c>
      <c r="E4">
        <v>56</v>
      </c>
      <c r="F4">
        <f t="shared" si="2"/>
        <v>3136</v>
      </c>
      <c r="G4">
        <v>96</v>
      </c>
      <c r="H4">
        <v>24</v>
      </c>
      <c r="I4">
        <f t="shared" si="0"/>
        <v>7225344</v>
      </c>
      <c r="J4">
        <f t="shared" si="1"/>
        <v>2</v>
      </c>
      <c r="K4">
        <f>표1_5[[#This Row],[MAC 수]]*표1_5[[#This Row],[Repeat]]</f>
        <v>14450688</v>
      </c>
      <c r="L4">
        <v>2500</v>
      </c>
      <c r="M4">
        <v>96</v>
      </c>
      <c r="N4">
        <v>24</v>
      </c>
      <c r="O4">
        <f t="shared" si="3"/>
        <v>3200000000</v>
      </c>
      <c r="P4">
        <f>표1_5[[#This Row],[tile_S]]*CEILING((표1_5[[#This Row],[tile_IC]]/8),1)</f>
        <v>30000</v>
      </c>
      <c r="Q4">
        <f>표1_5[[#This Row],[tile_S]]*CEILING(표1_5[[#This Row],[tile_OC]]/4,1)</f>
        <v>15000</v>
      </c>
      <c r="R4">
        <f>표1_5[[#This Row],[tile_IC]]*CEILING((표1_5[[#This Row],[tile_OC]]/4),1)</f>
        <v>576</v>
      </c>
      <c r="S4">
        <v>0.121754</v>
      </c>
      <c r="T4">
        <f>표1_5[[#This Row],[MAC 수]]/표1_5[[#This Row],[CPU reference time(s)]]</f>
        <v>59343791.579742759</v>
      </c>
      <c r="U4">
        <v>6.1263999999999999E-2</v>
      </c>
      <c r="V4">
        <f>표1_5[[#This Row],[MAC 수]]/표1_5[[#This Row],[FPGA End-to-End time(s)]]</f>
        <v>117937842.77879342</v>
      </c>
      <c r="W4">
        <v>2.2780000000000001E-3</v>
      </c>
      <c r="X4">
        <f>표1_5[[#This Row],[MAC 수]]/표1_5[[#This Row],[Pure HW compute time(s)]]</f>
        <v>3171792800.7023702</v>
      </c>
      <c r="Y4">
        <v>1.0455000000000001E-2</v>
      </c>
      <c r="Z4">
        <f>표1_5[[#This Row],[MAC 수]]/표1_5[[#This Row],[Kernel Time (s)]]</f>
        <v>691089813.48637009</v>
      </c>
      <c r="AA4">
        <f>표1_5[[#This Row],[FPGA Pure Compute Throughput]]/표1_5[[#This Row],[Theoretical Peak MAC/s]]*100</f>
        <v>99.118525021949068</v>
      </c>
      <c r="AB4">
        <v>3.0949000000000001E-2</v>
      </c>
      <c r="AC4">
        <v>4.7280000000000004E-3</v>
      </c>
      <c r="AD4">
        <f>표1_5[[#This Row],[Kernel Time (s)]]+표1_5[[#This Row],[Input DMA time (s)]]+표1_5[[#This Row],[Weight DMA time (s)]]-표1_5[[#This Row],[Pure HW compute time(s)]]</f>
        <v>4.3854000000000004E-2</v>
      </c>
      <c r="AE4">
        <f>표1_5[[#This Row],[FPGA End-to-End time(s)]]-(표1_5[[#This Row],[Kernel Time (s)]]+표1_5[[#This Row],[Input DMA time (s)]]+표1_5[[#This Row],[Weight DMA time (s)]])</f>
        <v>1.5131999999999993E-2</v>
      </c>
      <c r="AF4">
        <f>표1_5[[#This Row],[Input DMA time (s)]]/표1_5[[#This Row],[FPGA End-to-End time(s)]]*100</f>
        <v>50.517432750065296</v>
      </c>
      <c r="AG4">
        <f>표1_5[[#This Row],[Weight DMA time (s)]]/표1_5[[#This Row],[FPGA End-to-End time(s)]]*100</f>
        <v>7.7174196918255431</v>
      </c>
      <c r="AH4">
        <f>표1_5[[#This Row],[Input DMA 비율 (%)]]+표1_5[[#This Row],[Weight DMA 비율 (%)]]</f>
        <v>58.234852441890837</v>
      </c>
      <c r="AI4">
        <f>(표1_5[[#This Row],[Input DMA time (s)]]+표1_5[[#This Row],[Weight DMA time (s)]]+표1_5[[#This Row],[Kernel Time (s)]]-표1_5[[#This Row],[Pure HW compute time(s)]])/표1_5[[#This Row],[FPGA End-to-End time(s)]]*100</f>
        <v>71.582005745625494</v>
      </c>
      <c r="AJ4">
        <f>표1_5[[#This Row],[Host Overhead Time (s)]]/표1_5[[#This Row],[FPGA End-to-End time(s)]]*100</f>
        <v>24.699660485766508</v>
      </c>
      <c r="AK4">
        <f>표1_5[[#This Row],[Pure HW compute time(s)]]/표1_5[[#This Row],[Kernel Time (s)]]*100</f>
        <v>21.788617886178859</v>
      </c>
      <c r="AL4">
        <f>표1_5[[#This Row],[CPU reference time(s)]]/표1_5[[#This Row],[FPGA End-to-End time(s)]]</f>
        <v>1.9873661530425699</v>
      </c>
      <c r="AM4">
        <f>표1_5[[#This Row],[CPU reference time(s)]]/표1_5[[#This Row],[Pure HW compute time(s)]]</f>
        <v>53.447761194029852</v>
      </c>
      <c r="AN4">
        <f>(4*(표1_5[[#This Row],[S]]*표1_5[[#This Row],[IC]])+4*(표1_5[[#This Row],[IC]]*표1_5[[#This Row],[OC]])+4*(표1_5[[#This Row],[S]]*표1_5[[#This Row],[OC]]))</f>
        <v>1514496</v>
      </c>
      <c r="AO4">
        <f>표1_5[[#This Row],[MAC 수]]/표1_5[[#This Row],[Memory Traffic]]</f>
        <v>4.7707910750507097</v>
      </c>
    </row>
    <row r="5" spans="1:43">
      <c r="A5" s="1"/>
      <c r="B5">
        <v>4</v>
      </c>
      <c r="C5" t="s">
        <v>14</v>
      </c>
      <c r="D5">
        <v>56</v>
      </c>
      <c r="E5">
        <v>56</v>
      </c>
      <c r="F5">
        <f t="shared" si="2"/>
        <v>3136</v>
      </c>
      <c r="G5">
        <v>24</v>
      </c>
      <c r="H5">
        <v>144</v>
      </c>
      <c r="I5">
        <f t="shared" si="0"/>
        <v>10838016</v>
      </c>
      <c r="J5">
        <f t="shared" si="1"/>
        <v>8</v>
      </c>
      <c r="K5">
        <f>표1_5[[#This Row],[MAC 수]]*표1_5[[#This Row],[Repeat]]</f>
        <v>86704128</v>
      </c>
      <c r="L5">
        <v>416</v>
      </c>
      <c r="M5">
        <v>24</v>
      </c>
      <c r="N5">
        <v>144</v>
      </c>
      <c r="O5">
        <f t="shared" si="3"/>
        <v>3200000000</v>
      </c>
      <c r="P5">
        <f>표1_5[[#This Row],[tile_S]]*CEILING((표1_5[[#This Row],[tile_IC]]/8),1)</f>
        <v>1248</v>
      </c>
      <c r="Q5">
        <f>표1_5[[#This Row],[tile_S]]*CEILING(표1_5[[#This Row],[tile_OC]]/4,1)</f>
        <v>14976</v>
      </c>
      <c r="R5">
        <f>표1_5[[#This Row],[tile_IC]]*CEILING((표1_5[[#This Row],[tile_OC]]/4),1)</f>
        <v>864</v>
      </c>
      <c r="S5">
        <v>0.15256500000000001</v>
      </c>
      <c r="T5">
        <f>표1_5[[#This Row],[MAC 수]]/표1_5[[#This Row],[CPU reference time(s)]]</f>
        <v>71038678.596008256</v>
      </c>
      <c r="U5">
        <v>0.157725</v>
      </c>
      <c r="V5">
        <f>표1_5[[#This Row],[MAC 수]]/표1_5[[#This Row],[FPGA End-to-End time(s)]]</f>
        <v>68714636.233951494</v>
      </c>
      <c r="W5">
        <v>3.5079999999999998E-3</v>
      </c>
      <c r="X5">
        <f>표1_5[[#This Row],[MAC 수]]/표1_5[[#This Row],[Pure HW compute time(s)]]</f>
        <v>3089514253.1356902</v>
      </c>
      <c r="Y5">
        <v>4.4249999999999998E-2</v>
      </c>
      <c r="Z5">
        <f>표1_5[[#This Row],[MAC 수]]/표1_5[[#This Row],[Kernel Time (s)]]</f>
        <v>244926915.25423729</v>
      </c>
      <c r="AA5">
        <f>표1_5[[#This Row],[FPGA Pure Compute Throughput]]/표1_5[[#This Row],[Theoretical Peak MAC/s]]*100</f>
        <v>96.547320410490329</v>
      </c>
      <c r="AB5">
        <v>1.9479E-2</v>
      </c>
      <c r="AC5">
        <v>1.5826E-2</v>
      </c>
      <c r="AD5">
        <f>표1_5[[#This Row],[Kernel Time (s)]]+표1_5[[#This Row],[Input DMA time (s)]]+표1_5[[#This Row],[Weight DMA time (s)]]-표1_5[[#This Row],[Pure HW compute time(s)]]</f>
        <v>7.604699999999999E-2</v>
      </c>
      <c r="AE5">
        <f>표1_5[[#This Row],[FPGA End-to-End time(s)]]-(표1_5[[#This Row],[Kernel Time (s)]]+표1_5[[#This Row],[Input DMA time (s)]]+표1_5[[#This Row],[Weight DMA time (s)]])</f>
        <v>7.8170000000000017E-2</v>
      </c>
      <c r="AF5">
        <f>표1_5[[#This Row],[Input DMA time (s)]]/표1_5[[#This Row],[FPGA End-to-End time(s)]]*100</f>
        <v>12.349976224441274</v>
      </c>
      <c r="AG5">
        <f>표1_5[[#This Row],[Weight DMA time (s)]]/표1_5[[#This Row],[FPGA End-to-End time(s)]]*100</f>
        <v>10.033919797115232</v>
      </c>
      <c r="AH5">
        <f>표1_5[[#This Row],[Input DMA 비율 (%)]]+표1_5[[#This Row],[Weight DMA 비율 (%)]]</f>
        <v>22.383896021556506</v>
      </c>
      <c r="AI5">
        <f>(표1_5[[#This Row],[Input DMA time (s)]]+표1_5[[#This Row],[Weight DMA time (s)]]+표1_5[[#This Row],[Kernel Time (s)]]-표1_5[[#This Row],[Pure HW compute time(s)]])/표1_5[[#This Row],[FPGA End-to-End time(s)]]*100</f>
        <v>48.214931050879692</v>
      </c>
      <c r="AJ5">
        <f>표1_5[[#This Row],[Host Overhead Time (s)]]/표1_5[[#This Row],[FPGA End-to-End time(s)]]*100</f>
        <v>49.560944682200045</v>
      </c>
      <c r="AK5">
        <f>표1_5[[#This Row],[Pure HW compute time(s)]]/표1_5[[#This Row],[Kernel Time (s)]]*100</f>
        <v>7.927683615819209</v>
      </c>
      <c r="AL5">
        <f>표1_5[[#This Row],[CPU reference time(s)]]/표1_5[[#This Row],[FPGA End-to-End time(s)]]</f>
        <v>0.96728483119353303</v>
      </c>
      <c r="AM5">
        <f>표1_5[[#This Row],[CPU reference time(s)]]/표1_5[[#This Row],[Pure HW compute time(s)]]</f>
        <v>43.490592930444699</v>
      </c>
      <c r="AN5">
        <f>(4*(표1_5[[#This Row],[S]]*표1_5[[#This Row],[IC]])+4*(표1_5[[#This Row],[IC]]*표1_5[[#This Row],[OC]])+4*(표1_5[[#This Row],[S]]*표1_5[[#This Row],[OC]]))</f>
        <v>2121216</v>
      </c>
      <c r="AO5">
        <f>표1_5[[#This Row],[MAC 수]]/표1_5[[#This Row],[Memory Traffic]]</f>
        <v>5.109341057204924</v>
      </c>
    </row>
    <row r="6" spans="1:43">
      <c r="A6" s="1"/>
      <c r="B6">
        <v>5</v>
      </c>
      <c r="C6" t="s">
        <v>12</v>
      </c>
      <c r="D6">
        <v>56</v>
      </c>
      <c r="E6">
        <v>56</v>
      </c>
      <c r="F6">
        <f t="shared" si="2"/>
        <v>3136</v>
      </c>
      <c r="G6">
        <v>144</v>
      </c>
      <c r="H6">
        <v>24</v>
      </c>
      <c r="I6">
        <f t="shared" si="0"/>
        <v>10838016</v>
      </c>
      <c r="J6">
        <f t="shared" si="1"/>
        <v>2</v>
      </c>
      <c r="K6">
        <f>표1_5[[#This Row],[MAC 수]]*표1_5[[#This Row],[Repeat]]</f>
        <v>21676032</v>
      </c>
      <c r="L6">
        <v>1666</v>
      </c>
      <c r="M6">
        <v>144</v>
      </c>
      <c r="N6">
        <v>24</v>
      </c>
      <c r="O6">
        <f t="shared" si="3"/>
        <v>3200000000</v>
      </c>
      <c r="P6">
        <f>표1_5[[#This Row],[tile_S]]*CEILING((표1_5[[#This Row],[tile_IC]]/8),1)</f>
        <v>29988</v>
      </c>
      <c r="Q6">
        <f>표1_5[[#This Row],[tile_S]]*CEILING(표1_5[[#This Row],[tile_OC]]/4,1)</f>
        <v>9996</v>
      </c>
      <c r="R6">
        <f>표1_5[[#This Row],[tile_IC]]*CEILING((표1_5[[#This Row],[tile_OC]]/4),1)</f>
        <v>864</v>
      </c>
      <c r="S6">
        <v>0.17988699999999999</v>
      </c>
      <c r="T6">
        <f>표1_5[[#This Row],[MAC 수]]/표1_5[[#This Row],[CPU reference time(s)]]</f>
        <v>60249022.997770824</v>
      </c>
      <c r="U6">
        <v>7.5629000000000002E-2</v>
      </c>
      <c r="V6">
        <f>표1_5[[#This Row],[MAC 수]]/표1_5[[#This Row],[FPGA End-to-End time(s)]]</f>
        <v>143305028.49436063</v>
      </c>
      <c r="W6">
        <v>3.4169999999999999E-3</v>
      </c>
      <c r="X6">
        <f>표1_5[[#This Row],[MAC 수]]/표1_5[[#This Row],[Pure HW compute time(s)]]</f>
        <v>3171792800.7023706</v>
      </c>
      <c r="Y6">
        <v>1.1183E-2</v>
      </c>
      <c r="Z6">
        <f>표1_5[[#This Row],[MAC 수]]/표1_5[[#This Row],[Kernel Time (s)]]</f>
        <v>969151032.81766963</v>
      </c>
      <c r="AA6">
        <f>표1_5[[#This Row],[FPGA Pure Compute Throughput]]/표1_5[[#This Row],[Theoretical Peak MAC/s]]*100</f>
        <v>99.118525021949083</v>
      </c>
      <c r="AB6">
        <v>4.4223999999999999E-2</v>
      </c>
      <c r="AC6">
        <v>4.6909999999999999E-3</v>
      </c>
      <c r="AD6">
        <f>표1_5[[#This Row],[Kernel Time (s)]]+표1_5[[#This Row],[Input DMA time (s)]]+표1_5[[#This Row],[Weight DMA time (s)]]-표1_5[[#This Row],[Pure HW compute time(s)]]</f>
        <v>5.6680999999999995E-2</v>
      </c>
      <c r="AE6">
        <f>표1_5[[#This Row],[FPGA End-to-End time(s)]]-(표1_5[[#This Row],[Kernel Time (s)]]+표1_5[[#This Row],[Input DMA time (s)]]+표1_5[[#This Row],[Weight DMA time (s)]])</f>
        <v>1.5531000000000003E-2</v>
      </c>
      <c r="AF6">
        <f>표1_5[[#This Row],[Input DMA time (s)]]/표1_5[[#This Row],[FPGA End-to-End time(s)]]*100</f>
        <v>58.474923640402487</v>
      </c>
      <c r="AG6">
        <f>표1_5[[#This Row],[Weight DMA time (s)]]/표1_5[[#This Row],[FPGA End-to-End time(s)]]*100</f>
        <v>6.2026471327136417</v>
      </c>
      <c r="AH6">
        <f>표1_5[[#This Row],[Input DMA 비율 (%)]]+표1_5[[#This Row],[Weight DMA 비율 (%)]]</f>
        <v>64.67757077311613</v>
      </c>
      <c r="AI6">
        <f>(표1_5[[#This Row],[Input DMA time (s)]]+표1_5[[#This Row],[Weight DMA time (s)]]+표1_5[[#This Row],[Kernel Time (s)]]-표1_5[[#This Row],[Pure HW compute time(s)]])/표1_5[[#This Row],[FPGA End-to-End time(s)]]*100</f>
        <v>74.946118552407142</v>
      </c>
      <c r="AJ6">
        <f>표1_5[[#This Row],[Host Overhead Time (s)]]/표1_5[[#This Row],[FPGA End-to-End time(s)]]*100</f>
        <v>20.535773314469321</v>
      </c>
      <c r="AK6">
        <f>표1_5[[#This Row],[Pure HW compute time(s)]]/표1_5[[#This Row],[Kernel Time (s)]]*100</f>
        <v>30.555307162657602</v>
      </c>
      <c r="AL6">
        <f>표1_5[[#This Row],[CPU reference time(s)]]/표1_5[[#This Row],[FPGA End-to-End time(s)]]</f>
        <v>2.3785452670271985</v>
      </c>
      <c r="AM6">
        <f>표1_5[[#This Row],[CPU reference time(s)]]/표1_5[[#This Row],[Pure HW compute time(s)]]</f>
        <v>52.644717588527946</v>
      </c>
      <c r="AN6">
        <f>(4*(표1_5[[#This Row],[S]]*표1_5[[#This Row],[IC]])+4*(표1_5[[#This Row],[IC]]*표1_5[[#This Row],[OC]])+4*(표1_5[[#This Row],[S]]*표1_5[[#This Row],[OC]]))</f>
        <v>2121216</v>
      </c>
      <c r="AO6">
        <f>표1_5[[#This Row],[MAC 수]]/표1_5[[#This Row],[Memory Traffic]]</f>
        <v>5.109341057204924</v>
      </c>
    </row>
    <row r="7" spans="1:43">
      <c r="A7" s="1">
        <v>3</v>
      </c>
      <c r="B7">
        <v>6</v>
      </c>
      <c r="C7" t="s">
        <v>13</v>
      </c>
      <c r="D7">
        <v>56</v>
      </c>
      <c r="E7">
        <v>56</v>
      </c>
      <c r="F7">
        <f t="shared" si="2"/>
        <v>3136</v>
      </c>
      <c r="G7">
        <v>24</v>
      </c>
      <c r="H7">
        <v>144</v>
      </c>
      <c r="I7">
        <f t="shared" si="0"/>
        <v>10838016</v>
      </c>
      <c r="J7">
        <f t="shared" si="1"/>
        <v>8</v>
      </c>
      <c r="K7">
        <f>표1_5[[#This Row],[MAC 수]]*표1_5[[#This Row],[Repeat]]</f>
        <v>86704128</v>
      </c>
      <c r="L7">
        <v>416</v>
      </c>
      <c r="M7">
        <v>24</v>
      </c>
      <c r="N7">
        <v>144</v>
      </c>
      <c r="O7">
        <f t="shared" si="3"/>
        <v>3200000000</v>
      </c>
      <c r="P7">
        <f>표1_5[[#This Row],[tile_S]]*CEILING((표1_5[[#This Row],[tile_IC]]/8),1)</f>
        <v>1248</v>
      </c>
      <c r="Q7">
        <f>표1_5[[#This Row],[tile_S]]*CEILING(표1_5[[#This Row],[tile_OC]]/4,1)</f>
        <v>14976</v>
      </c>
      <c r="R7">
        <f>표1_5[[#This Row],[tile_IC]]*CEILING((표1_5[[#This Row],[tile_OC]]/4),1)</f>
        <v>864</v>
      </c>
      <c r="S7">
        <v>0.153229</v>
      </c>
      <c r="T7">
        <f>표1_5[[#This Row],[MAC 수]]/표1_5[[#This Row],[CPU reference time(s)]]</f>
        <v>70730840.767739788</v>
      </c>
      <c r="U7">
        <v>0.16084999999999999</v>
      </c>
      <c r="V7">
        <f>표1_5[[#This Row],[MAC 수]]/표1_5[[#This Row],[FPGA End-to-End time(s)]]</f>
        <v>67379645.632576942</v>
      </c>
      <c r="W7">
        <v>3.5079999999999998E-3</v>
      </c>
      <c r="X7">
        <f>표1_5[[#This Row],[MAC 수]]/표1_5[[#This Row],[Pure HW compute time(s)]]</f>
        <v>3089514253.1356902</v>
      </c>
      <c r="Y7">
        <v>4.5759000000000001E-2</v>
      </c>
      <c r="Z7">
        <f>표1_5[[#This Row],[MAC 수]]/표1_5[[#This Row],[Kernel Time (s)]]</f>
        <v>236849931.16108307</v>
      </c>
      <c r="AA7">
        <f>표1_5[[#This Row],[FPGA Pure Compute Throughput]]/표1_5[[#This Row],[Theoretical Peak MAC/s]]*100</f>
        <v>96.547320410490329</v>
      </c>
      <c r="AB7">
        <v>2.0017E-2</v>
      </c>
      <c r="AC7">
        <v>1.6226000000000001E-2</v>
      </c>
      <c r="AD7">
        <f>표1_5[[#This Row],[Kernel Time (s)]]+표1_5[[#This Row],[Input DMA time (s)]]+표1_5[[#This Row],[Weight DMA time (s)]]-표1_5[[#This Row],[Pure HW compute time(s)]]</f>
        <v>7.8494000000000008E-2</v>
      </c>
      <c r="AE7">
        <f>표1_5[[#This Row],[FPGA End-to-End time(s)]]-(표1_5[[#This Row],[Kernel Time (s)]]+표1_5[[#This Row],[Input DMA time (s)]]+표1_5[[#This Row],[Weight DMA time (s)]])</f>
        <v>7.8847999999999988E-2</v>
      </c>
      <c r="AF7">
        <f>표1_5[[#This Row],[Input DMA time (s)]]/표1_5[[#This Row],[FPGA End-to-End time(s)]]*100</f>
        <v>12.444513521914828</v>
      </c>
      <c r="AG7">
        <f>표1_5[[#This Row],[Weight DMA time (s)]]/표1_5[[#This Row],[FPGA End-to-End time(s)]]*100</f>
        <v>10.087659309916072</v>
      </c>
      <c r="AH7">
        <f>표1_5[[#This Row],[Input DMA 비율 (%)]]+표1_5[[#This Row],[Weight DMA 비율 (%)]]</f>
        <v>22.532172831830898</v>
      </c>
      <c r="AI7">
        <f>(표1_5[[#This Row],[Input DMA time (s)]]+표1_5[[#This Row],[Weight DMA time (s)]]+표1_5[[#This Row],[Kernel Time (s)]]-표1_5[[#This Row],[Pure HW compute time(s)]])/표1_5[[#This Row],[FPGA End-to-End time(s)]]*100</f>
        <v>48.799502642213241</v>
      </c>
      <c r="AJ7">
        <f>표1_5[[#This Row],[Host Overhead Time (s)]]/표1_5[[#This Row],[FPGA End-to-End time(s)]]*100</f>
        <v>49.019583462853582</v>
      </c>
      <c r="AK7">
        <f>표1_5[[#This Row],[Pure HW compute time(s)]]/표1_5[[#This Row],[Kernel Time (s)]]*100</f>
        <v>7.6662514478026171</v>
      </c>
      <c r="AL7">
        <f>표1_5[[#This Row],[CPU reference time(s)]]/표1_5[[#This Row],[FPGA End-to-End time(s)]]</f>
        <v>0.95262045383898053</v>
      </c>
      <c r="AM7">
        <f>표1_5[[#This Row],[CPU reference time(s)]]/표1_5[[#This Row],[Pure HW compute time(s)]]</f>
        <v>43.679874572405936</v>
      </c>
      <c r="AN7">
        <f>(4*(표1_5[[#This Row],[S]]*표1_5[[#This Row],[IC]])+4*(표1_5[[#This Row],[IC]]*표1_5[[#This Row],[OC]])+4*(표1_5[[#This Row],[S]]*표1_5[[#This Row],[OC]]))</f>
        <v>2121216</v>
      </c>
      <c r="AO7">
        <f>표1_5[[#This Row],[MAC 수]]/표1_5[[#This Row],[Memory Traffic]]</f>
        <v>5.109341057204924</v>
      </c>
    </row>
    <row r="8" spans="1:43">
      <c r="A8" s="1"/>
      <c r="B8">
        <v>7</v>
      </c>
      <c r="C8" t="s">
        <v>12</v>
      </c>
      <c r="D8">
        <v>28</v>
      </c>
      <c r="E8">
        <v>28</v>
      </c>
      <c r="F8">
        <f t="shared" si="2"/>
        <v>784</v>
      </c>
      <c r="G8">
        <v>144</v>
      </c>
      <c r="H8">
        <v>32</v>
      </c>
      <c r="I8">
        <f t="shared" si="0"/>
        <v>3612672</v>
      </c>
      <c r="J8">
        <f t="shared" si="1"/>
        <v>1</v>
      </c>
      <c r="K8">
        <f>표1_5[[#This Row],[MAC 수]]*표1_5[[#This Row],[Repeat]]</f>
        <v>3612672</v>
      </c>
      <c r="L8">
        <v>784</v>
      </c>
      <c r="M8">
        <v>144</v>
      </c>
      <c r="N8">
        <v>32</v>
      </c>
      <c r="O8">
        <f t="shared" si="3"/>
        <v>3200000000</v>
      </c>
      <c r="P8">
        <f>표1_5[[#This Row],[tile_S]]*CEILING((표1_5[[#This Row],[tile_IC]]/8),1)</f>
        <v>14112</v>
      </c>
      <c r="Q8">
        <f>표1_5[[#This Row],[tile_S]]*CEILING(표1_5[[#This Row],[tile_OC]]/4,1)</f>
        <v>6272</v>
      </c>
      <c r="R8">
        <f>표1_5[[#This Row],[tile_IC]]*CEILING((표1_5[[#This Row],[tile_OC]]/4),1)</f>
        <v>1152</v>
      </c>
      <c r="S8">
        <v>5.5412000000000003E-2</v>
      </c>
      <c r="T8">
        <f>표1_5[[#This Row],[MAC 수]]/표1_5[[#This Row],[CPU reference time(s)]]</f>
        <v>65196563.921172306</v>
      </c>
      <c r="U8">
        <v>2.3826E-2</v>
      </c>
      <c r="V8">
        <f>표1_5[[#This Row],[MAC 수]]/표1_5[[#This Row],[FPGA End-to-End time(s)]]</f>
        <v>151627297.9098464</v>
      </c>
      <c r="W8">
        <v>1.1490000000000001E-3</v>
      </c>
      <c r="X8">
        <f>표1_5[[#This Row],[MAC 수]]/표1_5[[#This Row],[Pure HW compute time(s)]]</f>
        <v>3144187989.5561357</v>
      </c>
      <c r="Y8">
        <v>3.7499999999999999E-3</v>
      </c>
      <c r="Z8">
        <f>표1_5[[#This Row],[MAC 수]]/표1_5[[#This Row],[Kernel Time (s)]]</f>
        <v>963379200</v>
      </c>
      <c r="AA8">
        <f>표1_5[[#This Row],[FPGA Pure Compute Throughput]]/표1_5[[#This Row],[Theoretical Peak MAC/s]]*100</f>
        <v>98.255874673629236</v>
      </c>
      <c r="AB8">
        <v>1.1766E-2</v>
      </c>
      <c r="AC8">
        <v>1.949E-3</v>
      </c>
      <c r="AD8">
        <f>표1_5[[#This Row],[Kernel Time (s)]]+표1_5[[#This Row],[Input DMA time (s)]]+표1_5[[#This Row],[Weight DMA time (s)]]-표1_5[[#This Row],[Pure HW compute time(s)]]</f>
        <v>1.6316000000000001E-2</v>
      </c>
      <c r="AE8">
        <f>표1_5[[#This Row],[FPGA End-to-End time(s)]]-(표1_5[[#This Row],[Kernel Time (s)]]+표1_5[[#This Row],[Input DMA time (s)]]+표1_5[[#This Row],[Weight DMA time (s)]])</f>
        <v>6.3609999999999986E-3</v>
      </c>
      <c r="AF8">
        <f>표1_5[[#This Row],[Input DMA time (s)]]/표1_5[[#This Row],[FPGA End-to-End time(s)]]*100</f>
        <v>49.383026945353819</v>
      </c>
      <c r="AG8">
        <f>표1_5[[#This Row],[Weight DMA time (s)]]/표1_5[[#This Row],[FPGA End-to-End time(s)]]*100</f>
        <v>8.1801393435742469</v>
      </c>
      <c r="AH8">
        <f>표1_5[[#This Row],[Input DMA 비율 (%)]]+표1_5[[#This Row],[Weight DMA 비율 (%)]]</f>
        <v>57.563166288928066</v>
      </c>
      <c r="AI8">
        <f>(표1_5[[#This Row],[Input DMA time (s)]]+표1_5[[#This Row],[Weight DMA time (s)]]+표1_5[[#This Row],[Kernel Time (s)]]-표1_5[[#This Row],[Pure HW compute time(s)]])/표1_5[[#This Row],[FPGA End-to-End time(s)]]*100</f>
        <v>68.479811970116671</v>
      </c>
      <c r="AJ8">
        <f>표1_5[[#This Row],[Host Overhead Time (s)]]/표1_5[[#This Row],[FPGA End-to-End time(s)]]*100</f>
        <v>26.69772517417946</v>
      </c>
      <c r="AK8">
        <f>표1_5[[#This Row],[Pure HW compute time(s)]]/표1_5[[#This Row],[Kernel Time (s)]]*100</f>
        <v>30.64</v>
      </c>
      <c r="AL8">
        <f>표1_5[[#This Row],[CPU reference time(s)]]/표1_5[[#This Row],[FPGA End-to-End time(s)]]</f>
        <v>2.3256946193234285</v>
      </c>
      <c r="AM8">
        <f>표1_5[[#This Row],[CPU reference time(s)]]/표1_5[[#This Row],[Pure HW compute time(s)]]</f>
        <v>48.226283724978245</v>
      </c>
      <c r="AN8">
        <f>(4*(표1_5[[#This Row],[S]]*표1_5[[#This Row],[IC]])+4*(표1_5[[#This Row],[IC]]*표1_5[[#This Row],[OC]])+4*(표1_5[[#This Row],[S]]*표1_5[[#This Row],[OC]]))</f>
        <v>570368</v>
      </c>
      <c r="AO8">
        <f>표1_5[[#This Row],[MAC 수]]/표1_5[[#This Row],[Memory Traffic]]</f>
        <v>6.3339317773788153</v>
      </c>
    </row>
    <row r="9" spans="1:43">
      <c r="A9" s="1"/>
      <c r="B9">
        <v>8</v>
      </c>
      <c r="C9" t="s">
        <v>13</v>
      </c>
      <c r="D9">
        <v>28</v>
      </c>
      <c r="E9">
        <v>28</v>
      </c>
      <c r="F9">
        <f t="shared" si="2"/>
        <v>784</v>
      </c>
      <c r="G9">
        <v>32</v>
      </c>
      <c r="H9">
        <v>192</v>
      </c>
      <c r="I9">
        <f t="shared" si="0"/>
        <v>4816896</v>
      </c>
      <c r="J9">
        <f t="shared" si="1"/>
        <v>3</v>
      </c>
      <c r="K9">
        <f>표1_5[[#This Row],[MAC 수]]*표1_5[[#This Row],[Repeat]]</f>
        <v>14450688</v>
      </c>
      <c r="L9">
        <v>312</v>
      </c>
      <c r="M9">
        <v>32</v>
      </c>
      <c r="N9">
        <v>192</v>
      </c>
      <c r="O9">
        <f t="shared" si="3"/>
        <v>3200000000</v>
      </c>
      <c r="P9">
        <f>표1_5[[#This Row],[tile_S]]*CEILING((표1_5[[#This Row],[tile_IC]]/8),1)</f>
        <v>1248</v>
      </c>
      <c r="Q9">
        <f>표1_5[[#This Row],[tile_S]]*CEILING(표1_5[[#This Row],[tile_OC]]/4,1)</f>
        <v>14976</v>
      </c>
      <c r="R9">
        <f>표1_5[[#This Row],[tile_IC]]*CEILING((표1_5[[#This Row],[tile_OC]]/4),1)</f>
        <v>1536</v>
      </c>
      <c r="S9">
        <v>6.6295000000000007E-2</v>
      </c>
      <c r="T9">
        <f>표1_5[[#This Row],[MAC 수]]/표1_5[[#This Row],[CPU reference time(s)]]</f>
        <v>72658511.199939653</v>
      </c>
      <c r="U9">
        <v>7.1526000000000006E-2</v>
      </c>
      <c r="V9">
        <f>표1_5[[#This Row],[MAC 수]]/표1_5[[#This Row],[FPGA End-to-End time(s)]]</f>
        <v>67344685.848502636</v>
      </c>
      <c r="W9">
        <v>1.586E-3</v>
      </c>
      <c r="X9">
        <f>표1_5[[#This Row],[MAC 수]]/표1_5[[#This Row],[Pure HW compute time(s)]]</f>
        <v>3037134930.6431274</v>
      </c>
      <c r="Y9">
        <v>1.4643E-2</v>
      </c>
      <c r="Z9">
        <f>표1_5[[#This Row],[MAC 수]]/표1_5[[#This Row],[Kernel Time (s)]]</f>
        <v>328955541.89715225</v>
      </c>
      <c r="AA9">
        <f>표1_5[[#This Row],[FPGA Pure Compute Throughput]]/표1_5[[#This Row],[Theoretical Peak MAC/s]]*100</f>
        <v>94.910466582597735</v>
      </c>
      <c r="AB9">
        <v>2.2453000000000001E-2</v>
      </c>
      <c r="AC9">
        <v>6.5649999999999997E-3</v>
      </c>
      <c r="AD9">
        <f>표1_5[[#This Row],[Kernel Time (s)]]+표1_5[[#This Row],[Input DMA time (s)]]+표1_5[[#This Row],[Weight DMA time (s)]]-표1_5[[#This Row],[Pure HW compute time(s)]]</f>
        <v>4.2075000000000008E-2</v>
      </c>
      <c r="AE9">
        <f>표1_5[[#This Row],[FPGA End-to-End time(s)]]-(표1_5[[#This Row],[Kernel Time (s)]]+표1_5[[#This Row],[Input DMA time (s)]]+표1_5[[#This Row],[Weight DMA time (s)]])</f>
        <v>2.7865000000000001E-2</v>
      </c>
      <c r="AF9">
        <f>표1_5[[#This Row],[Input DMA time (s)]]/표1_5[[#This Row],[FPGA End-to-End time(s)]]*100</f>
        <v>31.391382154740931</v>
      </c>
      <c r="AG9">
        <f>표1_5[[#This Row],[Weight DMA time (s)]]/표1_5[[#This Row],[FPGA End-to-End time(s)]]*100</f>
        <v>9.1784805525263522</v>
      </c>
      <c r="AH9">
        <f>표1_5[[#This Row],[Input DMA 비율 (%)]]+표1_5[[#This Row],[Weight DMA 비율 (%)]]</f>
        <v>40.569862707267283</v>
      </c>
      <c r="AI9">
        <f>(표1_5[[#This Row],[Input DMA time (s)]]+표1_5[[#This Row],[Weight DMA time (s)]]+표1_5[[#This Row],[Kernel Time (s)]]-표1_5[[#This Row],[Pure HW compute time(s)]])/표1_5[[#This Row],[FPGA End-to-End time(s)]]*100</f>
        <v>58.824763023236315</v>
      </c>
      <c r="AJ9">
        <f>표1_5[[#This Row],[Host Overhead Time (s)]]/표1_5[[#This Row],[FPGA End-to-End time(s)]]*100</f>
        <v>38.957861476945446</v>
      </c>
      <c r="AK9">
        <f>표1_5[[#This Row],[Pure HW compute time(s)]]/표1_5[[#This Row],[Kernel Time (s)]]*100</f>
        <v>10.831113842791778</v>
      </c>
      <c r="AL9">
        <f>표1_5[[#This Row],[CPU reference time(s)]]/표1_5[[#This Row],[FPGA End-to-End time(s)]]</f>
        <v>0.92686575511002989</v>
      </c>
      <c r="AM9">
        <f>표1_5[[#This Row],[CPU reference time(s)]]/표1_5[[#This Row],[Pure HW compute time(s)]]</f>
        <v>41.8001261034048</v>
      </c>
      <c r="AN9">
        <f>(4*(표1_5[[#This Row],[S]]*표1_5[[#This Row],[IC]])+4*(표1_5[[#This Row],[IC]]*표1_5[[#This Row],[OC]])+4*(표1_5[[#This Row],[S]]*표1_5[[#This Row],[OC]]))</f>
        <v>727040</v>
      </c>
      <c r="AO9">
        <f>표1_5[[#This Row],[MAC 수]]/표1_5[[#This Row],[Memory Traffic]]</f>
        <v>6.6253521126760564</v>
      </c>
    </row>
    <row r="10" spans="1:43">
      <c r="A10" s="1"/>
      <c r="B10">
        <v>9</v>
      </c>
      <c r="C10" t="s">
        <v>11</v>
      </c>
      <c r="D10">
        <v>28</v>
      </c>
      <c r="E10">
        <v>28</v>
      </c>
      <c r="F10">
        <f t="shared" si="2"/>
        <v>784</v>
      </c>
      <c r="G10">
        <v>192</v>
      </c>
      <c r="H10">
        <v>32</v>
      </c>
      <c r="I10">
        <f t="shared" si="0"/>
        <v>4816896</v>
      </c>
      <c r="J10">
        <f t="shared" si="1"/>
        <v>1</v>
      </c>
      <c r="K10">
        <f>표1_5[[#This Row],[MAC 수]]*표1_5[[#This Row],[Repeat]]</f>
        <v>4816896</v>
      </c>
      <c r="L10">
        <v>784</v>
      </c>
      <c r="M10">
        <v>192</v>
      </c>
      <c r="N10">
        <v>32</v>
      </c>
      <c r="O10">
        <f t="shared" si="3"/>
        <v>3200000000</v>
      </c>
      <c r="P10">
        <f>표1_5[[#This Row],[tile_S]]*CEILING((표1_5[[#This Row],[tile_IC]]/8),1)</f>
        <v>18816</v>
      </c>
      <c r="Q10">
        <f>표1_5[[#This Row],[tile_S]]*CEILING(표1_5[[#This Row],[tile_OC]]/4,1)</f>
        <v>6272</v>
      </c>
      <c r="R10">
        <f>표1_5[[#This Row],[tile_IC]]*CEILING((표1_5[[#This Row],[tile_OC]]/4),1)</f>
        <v>1536</v>
      </c>
      <c r="S10">
        <v>6.4457E-2</v>
      </c>
      <c r="T10">
        <f>표1_5[[#This Row],[MAC 수]]/표1_5[[#This Row],[CPU reference time(s)]]</f>
        <v>74730378.391796082</v>
      </c>
      <c r="U10">
        <v>2.5925E-2</v>
      </c>
      <c r="V10">
        <f>표1_5[[#This Row],[MAC 수]]/표1_5[[#This Row],[FPGA End-to-End time(s)]]</f>
        <v>185801195.75699133</v>
      </c>
      <c r="W10">
        <v>1.5319999999999999E-3</v>
      </c>
      <c r="X10">
        <f>표1_5[[#This Row],[MAC 수]]/표1_5[[#This Row],[Pure HW compute time(s)]]</f>
        <v>3144187989.5561357</v>
      </c>
      <c r="Y10">
        <v>5.3460000000000001E-3</v>
      </c>
      <c r="Z10">
        <f>표1_5[[#This Row],[MAC 수]]/표1_5[[#This Row],[Kernel Time (s)]]</f>
        <v>901028058.36139166</v>
      </c>
      <c r="AA10">
        <f>표1_5[[#This Row],[FPGA Pure Compute Throughput]]/표1_5[[#This Row],[Theoretical Peak MAC/s]]*100</f>
        <v>98.255874673629236</v>
      </c>
      <c r="AB10">
        <v>1.2252000000000001E-2</v>
      </c>
      <c r="AC10">
        <v>2.0830000000000002E-3</v>
      </c>
      <c r="AD10">
        <f>표1_5[[#This Row],[Kernel Time (s)]]+표1_5[[#This Row],[Input DMA time (s)]]+표1_5[[#This Row],[Weight DMA time (s)]]-표1_5[[#This Row],[Pure HW compute time(s)]]</f>
        <v>1.8149000000000005E-2</v>
      </c>
      <c r="AE10">
        <f>표1_5[[#This Row],[FPGA End-to-End time(s)]]-(표1_5[[#This Row],[Kernel Time (s)]]+표1_5[[#This Row],[Input DMA time (s)]]+표1_5[[#This Row],[Weight DMA time (s)]])</f>
        <v>6.2439999999999961E-3</v>
      </c>
      <c r="AF10">
        <f>표1_5[[#This Row],[Input DMA time (s)]]/표1_5[[#This Row],[FPGA End-to-End time(s)]]*100</f>
        <v>47.259402121504337</v>
      </c>
      <c r="AG10">
        <f>표1_5[[#This Row],[Weight DMA time (s)]]/표1_5[[#This Row],[FPGA End-to-End time(s)]]*100</f>
        <v>8.0347155255544855</v>
      </c>
      <c r="AH10">
        <f>표1_5[[#This Row],[Input DMA 비율 (%)]]+표1_5[[#This Row],[Weight DMA 비율 (%)]]</f>
        <v>55.294117647058826</v>
      </c>
      <c r="AI10">
        <f>(표1_5[[#This Row],[Input DMA time (s)]]+표1_5[[#This Row],[Weight DMA time (s)]]+표1_5[[#This Row],[Kernel Time (s)]]-표1_5[[#This Row],[Pure HW compute time(s)]])/표1_5[[#This Row],[FPGA End-to-End time(s)]]*100</f>
        <v>70.00578592092576</v>
      </c>
      <c r="AJ10">
        <f>표1_5[[#This Row],[Host Overhead Time (s)]]/표1_5[[#This Row],[FPGA End-to-End time(s)]]*100</f>
        <v>24.084860173577614</v>
      </c>
      <c r="AK10">
        <f>표1_5[[#This Row],[Pure HW compute time(s)]]/표1_5[[#This Row],[Kernel Time (s)]]*100</f>
        <v>28.656939768050876</v>
      </c>
      <c r="AL10">
        <f>표1_5[[#This Row],[CPU reference time(s)]]/표1_5[[#This Row],[FPGA End-to-End time(s)]]</f>
        <v>2.4862873674059789</v>
      </c>
      <c r="AM10">
        <f>표1_5[[#This Row],[CPU reference time(s)]]/표1_5[[#This Row],[Pure HW compute time(s)]]</f>
        <v>42.073759791122718</v>
      </c>
      <c r="AN10">
        <f>(4*(표1_5[[#This Row],[S]]*표1_5[[#This Row],[IC]])+4*(표1_5[[#This Row],[IC]]*표1_5[[#This Row],[OC]])+4*(표1_5[[#This Row],[S]]*표1_5[[#This Row],[OC]]))</f>
        <v>727040</v>
      </c>
      <c r="AO10">
        <f>표1_5[[#This Row],[MAC 수]]/표1_5[[#This Row],[Memory Traffic]]</f>
        <v>6.6253521126760564</v>
      </c>
    </row>
    <row r="11" spans="1:43">
      <c r="A11" s="1"/>
      <c r="B11">
        <v>10</v>
      </c>
      <c r="C11" t="s">
        <v>13</v>
      </c>
      <c r="D11">
        <v>28</v>
      </c>
      <c r="E11">
        <v>28</v>
      </c>
      <c r="F11">
        <f t="shared" si="2"/>
        <v>784</v>
      </c>
      <c r="G11">
        <v>32</v>
      </c>
      <c r="H11">
        <v>192</v>
      </c>
      <c r="I11">
        <f t="shared" si="0"/>
        <v>4816896</v>
      </c>
      <c r="J11">
        <f t="shared" si="1"/>
        <v>3</v>
      </c>
      <c r="K11">
        <f>표1_5[[#This Row],[MAC 수]]*표1_5[[#This Row],[Repeat]]</f>
        <v>14450688</v>
      </c>
      <c r="L11">
        <v>312</v>
      </c>
      <c r="M11">
        <v>32</v>
      </c>
      <c r="N11">
        <v>192</v>
      </c>
      <c r="O11">
        <f t="shared" si="3"/>
        <v>3200000000</v>
      </c>
      <c r="P11">
        <f>표1_5[[#This Row],[tile_S]]*CEILING((표1_5[[#This Row],[tile_IC]]/8),1)</f>
        <v>1248</v>
      </c>
      <c r="Q11">
        <f>표1_5[[#This Row],[tile_S]]*CEILING(표1_5[[#This Row],[tile_OC]]/4,1)</f>
        <v>14976</v>
      </c>
      <c r="R11">
        <f>표1_5[[#This Row],[tile_IC]]*CEILING((표1_5[[#This Row],[tile_OC]]/4),1)</f>
        <v>1536</v>
      </c>
      <c r="S11">
        <v>6.0526999999999997E-2</v>
      </c>
      <c r="T11">
        <f>표1_5[[#This Row],[MAC 수]]/표1_5[[#This Row],[CPU reference time(s)]]</f>
        <v>79582599.501049116</v>
      </c>
      <c r="U11">
        <v>5.4623999999999999E-2</v>
      </c>
      <c r="V11">
        <f>표1_5[[#This Row],[MAC 수]]/표1_5[[#This Row],[FPGA End-to-End time(s)]]</f>
        <v>88182776.801405981</v>
      </c>
      <c r="W11">
        <v>1.586E-3</v>
      </c>
      <c r="X11">
        <f>표1_5[[#This Row],[MAC 수]]/표1_5[[#This Row],[Pure HW compute time(s)]]</f>
        <v>3037134930.6431274</v>
      </c>
      <c r="Y11">
        <v>1.5108999999999999E-2</v>
      </c>
      <c r="Z11">
        <f>표1_5[[#This Row],[MAC 수]]/표1_5[[#This Row],[Kernel Time (s)]]</f>
        <v>318809716.06327355</v>
      </c>
      <c r="AA11">
        <f>표1_5[[#This Row],[FPGA Pure Compute Throughput]]/표1_5[[#This Row],[Theoretical Peak MAC/s]]*100</f>
        <v>94.910466582597735</v>
      </c>
      <c r="AB11">
        <v>7.2350000000000001E-3</v>
      </c>
      <c r="AC11">
        <v>5.9480000000000002E-3</v>
      </c>
      <c r="AD11">
        <f>표1_5[[#This Row],[Kernel Time (s)]]+표1_5[[#This Row],[Input DMA time (s)]]+표1_5[[#This Row],[Weight DMA time (s)]]-표1_5[[#This Row],[Pure HW compute time(s)]]</f>
        <v>2.6705999999999997E-2</v>
      </c>
      <c r="AE11">
        <f>표1_5[[#This Row],[FPGA End-to-End time(s)]]-(표1_5[[#This Row],[Kernel Time (s)]]+표1_5[[#This Row],[Input DMA time (s)]]+표1_5[[#This Row],[Weight DMA time (s)]])</f>
        <v>2.6332000000000001E-2</v>
      </c>
      <c r="AF11">
        <f>표1_5[[#This Row],[Input DMA time (s)]]/표1_5[[#This Row],[FPGA End-to-End time(s)]]*100</f>
        <v>13.245093731693029</v>
      </c>
      <c r="AG11">
        <f>표1_5[[#This Row],[Weight DMA time (s)]]/표1_5[[#This Row],[FPGA End-to-End time(s)]]*100</f>
        <v>10.888986526069127</v>
      </c>
      <c r="AH11">
        <f>표1_5[[#This Row],[Input DMA 비율 (%)]]+표1_5[[#This Row],[Weight DMA 비율 (%)]]</f>
        <v>24.134080257762157</v>
      </c>
      <c r="AI11">
        <f>(표1_5[[#This Row],[Input DMA time (s)]]+표1_5[[#This Row],[Weight DMA time (s)]]+표1_5[[#This Row],[Kernel Time (s)]]-표1_5[[#This Row],[Pure HW compute time(s)]])/표1_5[[#This Row],[FPGA End-to-End time(s)]]*100</f>
        <v>48.890597539543052</v>
      </c>
      <c r="AJ11">
        <f>표1_5[[#This Row],[Host Overhead Time (s)]]/표1_5[[#This Row],[FPGA End-to-End time(s)]]*100</f>
        <v>48.205916813122442</v>
      </c>
      <c r="AK11">
        <f>표1_5[[#This Row],[Pure HW compute time(s)]]/표1_5[[#This Row],[Kernel Time (s)]]*100</f>
        <v>10.49705473558806</v>
      </c>
      <c r="AL11">
        <f>표1_5[[#This Row],[CPU reference time(s)]]/표1_5[[#This Row],[FPGA End-to-End time(s)]]</f>
        <v>1.1080660515524312</v>
      </c>
      <c r="AM11">
        <f>표1_5[[#This Row],[CPU reference time(s)]]/표1_5[[#This Row],[Pure HW compute time(s)]]</f>
        <v>38.163303909205545</v>
      </c>
      <c r="AN11">
        <f>(4*(표1_5[[#This Row],[S]]*표1_5[[#This Row],[IC]])+4*(표1_5[[#This Row],[IC]]*표1_5[[#This Row],[OC]])+4*(표1_5[[#This Row],[S]]*표1_5[[#This Row],[OC]]))</f>
        <v>727040</v>
      </c>
      <c r="AO11">
        <f>표1_5[[#This Row],[MAC 수]]/표1_5[[#This Row],[Memory Traffic]]</f>
        <v>6.6253521126760564</v>
      </c>
    </row>
    <row r="12" spans="1:43">
      <c r="A12" s="1"/>
      <c r="B12">
        <v>11</v>
      </c>
      <c r="C12" t="s">
        <v>12</v>
      </c>
      <c r="D12">
        <v>28</v>
      </c>
      <c r="E12">
        <v>28</v>
      </c>
      <c r="F12">
        <f t="shared" si="2"/>
        <v>784</v>
      </c>
      <c r="G12">
        <v>192</v>
      </c>
      <c r="H12">
        <v>32</v>
      </c>
      <c r="I12">
        <f t="shared" si="0"/>
        <v>4816896</v>
      </c>
      <c r="J12">
        <f t="shared" si="1"/>
        <v>1</v>
      </c>
      <c r="K12">
        <f>표1_5[[#This Row],[MAC 수]]*표1_5[[#This Row],[Repeat]]</f>
        <v>4816896</v>
      </c>
      <c r="L12">
        <v>784</v>
      </c>
      <c r="M12">
        <v>192</v>
      </c>
      <c r="N12">
        <v>32</v>
      </c>
      <c r="O12">
        <f t="shared" si="3"/>
        <v>3200000000</v>
      </c>
      <c r="P12">
        <f>표1_5[[#This Row],[tile_S]]*CEILING((표1_5[[#This Row],[tile_IC]]/8),1)</f>
        <v>18816</v>
      </c>
      <c r="Q12">
        <f>표1_5[[#This Row],[tile_S]]*CEILING(표1_5[[#This Row],[tile_OC]]/4,1)</f>
        <v>6272</v>
      </c>
      <c r="R12">
        <f>표1_5[[#This Row],[tile_IC]]*CEILING((표1_5[[#This Row],[tile_OC]]/4),1)</f>
        <v>1536</v>
      </c>
      <c r="S12">
        <v>7.1846999999999994E-2</v>
      </c>
      <c r="T12">
        <f>표1_5[[#This Row],[MAC 수]]/표1_5[[#This Row],[CPU reference time(s)]]</f>
        <v>67043801.411332421</v>
      </c>
      <c r="U12">
        <v>2.6849000000000001E-2</v>
      </c>
      <c r="V12">
        <f>표1_5[[#This Row],[MAC 수]]/표1_5[[#This Row],[FPGA End-to-End time(s)]]</f>
        <v>179406905.28511304</v>
      </c>
      <c r="W12">
        <v>1.5319999999999999E-3</v>
      </c>
      <c r="X12">
        <f>표1_5[[#This Row],[MAC 수]]/표1_5[[#This Row],[Pure HW compute time(s)]]</f>
        <v>3144187989.5561357</v>
      </c>
      <c r="Y12">
        <v>4.7790000000000003E-3</v>
      </c>
      <c r="Z12">
        <f>표1_5[[#This Row],[MAC 수]]/표1_5[[#This Row],[Kernel Time (s)]]</f>
        <v>1007929692.4042686</v>
      </c>
      <c r="AA12">
        <f>표1_5[[#This Row],[FPGA Pure Compute Throughput]]/표1_5[[#This Row],[Theoretical Peak MAC/s]]*100</f>
        <v>98.255874673629236</v>
      </c>
      <c r="AB12">
        <v>1.3802999999999999E-2</v>
      </c>
      <c r="AC12">
        <v>2.0890000000000001E-3</v>
      </c>
      <c r="AD12">
        <f>표1_5[[#This Row],[Kernel Time (s)]]+표1_5[[#This Row],[Input DMA time (s)]]+표1_5[[#This Row],[Weight DMA time (s)]]-표1_5[[#This Row],[Pure HW compute time(s)]]</f>
        <v>1.9139000000000003E-2</v>
      </c>
      <c r="AE12">
        <f>표1_5[[#This Row],[FPGA End-to-End time(s)]]-(표1_5[[#This Row],[Kernel Time (s)]]+표1_5[[#This Row],[Input DMA time (s)]]+표1_5[[#This Row],[Weight DMA time (s)]])</f>
        <v>6.1779999999999995E-3</v>
      </c>
      <c r="AF12">
        <f>표1_5[[#This Row],[Input DMA time (s)]]/표1_5[[#This Row],[FPGA End-to-End time(s)]]*100</f>
        <v>51.409735930574683</v>
      </c>
      <c r="AG12">
        <f>표1_5[[#This Row],[Weight DMA time (s)]]/표1_5[[#This Row],[FPGA End-to-End time(s)]]*100</f>
        <v>7.7805504860516228</v>
      </c>
      <c r="AH12">
        <f>표1_5[[#This Row],[Input DMA 비율 (%)]]+표1_5[[#This Row],[Weight DMA 비율 (%)]]</f>
        <v>59.190286416626307</v>
      </c>
      <c r="AI12">
        <f>(표1_5[[#This Row],[Input DMA time (s)]]+표1_5[[#This Row],[Weight DMA time (s)]]+표1_5[[#This Row],[Kernel Time (s)]]-표1_5[[#This Row],[Pure HW compute time(s)]])/표1_5[[#This Row],[FPGA End-to-End time(s)]]*100</f>
        <v>71.28384669820106</v>
      </c>
      <c r="AJ12">
        <f>표1_5[[#This Row],[Host Overhead Time (s)]]/표1_5[[#This Row],[FPGA End-to-End time(s)]]*100</f>
        <v>23.010167976460945</v>
      </c>
      <c r="AK12">
        <f>표1_5[[#This Row],[Pure HW compute time(s)]]/표1_5[[#This Row],[Kernel Time (s)]]*100</f>
        <v>32.056915672734881</v>
      </c>
      <c r="AL12">
        <f>표1_5[[#This Row],[CPU reference time(s)]]/표1_5[[#This Row],[FPGA End-to-End time(s)]]</f>
        <v>2.6759655853104394</v>
      </c>
      <c r="AM12">
        <f>표1_5[[#This Row],[CPU reference time(s)]]/표1_5[[#This Row],[Pure HW compute time(s)]]</f>
        <v>46.89751958224543</v>
      </c>
      <c r="AN12">
        <f>(4*(표1_5[[#This Row],[S]]*표1_5[[#This Row],[IC]])+4*(표1_5[[#This Row],[IC]]*표1_5[[#This Row],[OC]])+4*(표1_5[[#This Row],[S]]*표1_5[[#This Row],[OC]]))</f>
        <v>727040</v>
      </c>
      <c r="AO12">
        <f>표1_5[[#This Row],[MAC 수]]/표1_5[[#This Row],[Memory Traffic]]</f>
        <v>6.6253521126760564</v>
      </c>
    </row>
    <row r="13" spans="1:43">
      <c r="A13" s="1">
        <v>4</v>
      </c>
      <c r="B13">
        <v>12</v>
      </c>
      <c r="C13" s="2" t="s">
        <v>13</v>
      </c>
      <c r="D13">
        <v>28</v>
      </c>
      <c r="E13">
        <v>28</v>
      </c>
      <c r="F13">
        <f t="shared" si="2"/>
        <v>784</v>
      </c>
      <c r="G13">
        <v>32</v>
      </c>
      <c r="H13">
        <v>192</v>
      </c>
      <c r="I13">
        <f t="shared" si="0"/>
        <v>4816896</v>
      </c>
      <c r="J13">
        <f t="shared" si="1"/>
        <v>3</v>
      </c>
      <c r="K13">
        <f>표1_5[[#This Row],[MAC 수]]*표1_5[[#This Row],[Repeat]]</f>
        <v>14450688</v>
      </c>
      <c r="L13">
        <v>312</v>
      </c>
      <c r="M13">
        <v>32</v>
      </c>
      <c r="N13">
        <v>192</v>
      </c>
      <c r="O13">
        <f t="shared" si="3"/>
        <v>3200000000</v>
      </c>
      <c r="P13">
        <f>표1_5[[#This Row],[tile_S]]*CEILING((표1_5[[#This Row],[tile_IC]]/8),1)</f>
        <v>1248</v>
      </c>
      <c r="Q13">
        <f>표1_5[[#This Row],[tile_S]]*CEILING(표1_5[[#This Row],[tile_OC]]/4,1)</f>
        <v>14976</v>
      </c>
      <c r="R13">
        <f>표1_5[[#This Row],[tile_IC]]*CEILING((표1_5[[#This Row],[tile_OC]]/4),1)</f>
        <v>1536</v>
      </c>
      <c r="S13">
        <v>6.0787000000000001E-2</v>
      </c>
      <c r="T13">
        <f>표1_5[[#This Row],[MAC 수]]/표1_5[[#This Row],[CPU reference time(s)]]</f>
        <v>79242206.392814249</v>
      </c>
      <c r="U13">
        <v>5.3872000000000003E-2</v>
      </c>
      <c r="V13">
        <f>표1_5[[#This Row],[MAC 수]]/표1_5[[#This Row],[FPGA End-to-End time(s)]]</f>
        <v>89413721.413721412</v>
      </c>
      <c r="W13">
        <v>1.586E-3</v>
      </c>
      <c r="X13">
        <f>표1_5[[#This Row],[MAC 수]]/표1_5[[#This Row],[Pure HW compute time(s)]]</f>
        <v>3037134930.6431274</v>
      </c>
      <c r="Y13">
        <v>1.4806E-2</v>
      </c>
      <c r="Z13">
        <f>표1_5[[#This Row],[MAC 수]]/표1_5[[#This Row],[Kernel Time (s)]]</f>
        <v>325334053.7619884</v>
      </c>
      <c r="AA13">
        <f>표1_5[[#This Row],[FPGA Pure Compute Throughput]]/표1_5[[#This Row],[Theoretical Peak MAC/s]]*100</f>
        <v>94.910466582597735</v>
      </c>
      <c r="AB13">
        <v>7.162E-3</v>
      </c>
      <c r="AC13">
        <v>5.7450000000000001E-3</v>
      </c>
      <c r="AD13">
        <f>표1_5[[#This Row],[Kernel Time (s)]]+표1_5[[#This Row],[Input DMA time (s)]]+표1_5[[#This Row],[Weight DMA time (s)]]-표1_5[[#This Row],[Pure HW compute time(s)]]</f>
        <v>2.6127000000000001E-2</v>
      </c>
      <c r="AE13">
        <f>표1_5[[#This Row],[FPGA End-to-End time(s)]]-(표1_5[[#This Row],[Kernel Time (s)]]+표1_5[[#This Row],[Input DMA time (s)]]+표1_5[[#This Row],[Weight DMA time (s)]])</f>
        <v>2.6159000000000002E-2</v>
      </c>
      <c r="AF13">
        <f>표1_5[[#This Row],[Input DMA time (s)]]/표1_5[[#This Row],[FPGA End-to-End time(s)]]*100</f>
        <v>13.294475794475794</v>
      </c>
      <c r="AG13">
        <f>표1_5[[#This Row],[Weight DMA time (s)]]/표1_5[[#This Row],[FPGA End-to-End time(s)]]*100</f>
        <v>10.664166914166914</v>
      </c>
      <c r="AH13">
        <f>표1_5[[#This Row],[Input DMA 비율 (%)]]+표1_5[[#This Row],[Weight DMA 비율 (%)]]</f>
        <v>23.958642708642707</v>
      </c>
      <c r="AI13">
        <f>(표1_5[[#This Row],[Input DMA time (s)]]+표1_5[[#This Row],[Weight DMA time (s)]]+표1_5[[#This Row],[Kernel Time (s)]]-표1_5[[#This Row],[Pure HW compute time(s)]])/표1_5[[#This Row],[FPGA End-to-End time(s)]]*100</f>
        <v>48.498292248292245</v>
      </c>
      <c r="AJ13">
        <f>표1_5[[#This Row],[Host Overhead Time (s)]]/표1_5[[#This Row],[FPGA End-to-End time(s)]]*100</f>
        <v>48.557692307692307</v>
      </c>
      <c r="AK13">
        <f>표1_5[[#This Row],[Pure HW compute time(s)]]/표1_5[[#This Row],[Kernel Time (s)]]*100</f>
        <v>10.711873564771039</v>
      </c>
      <c r="AL13">
        <f>표1_5[[#This Row],[CPU reference time(s)]]/표1_5[[#This Row],[FPGA End-to-End time(s)]]</f>
        <v>1.1283598158598158</v>
      </c>
      <c r="AM13">
        <f>표1_5[[#This Row],[CPU reference time(s)]]/표1_5[[#This Row],[Pure HW compute time(s)]]</f>
        <v>38.327238335435055</v>
      </c>
      <c r="AN13">
        <f>(4*(표1_5[[#This Row],[S]]*표1_5[[#This Row],[IC]])+4*(표1_5[[#This Row],[IC]]*표1_5[[#This Row],[OC]])+4*(표1_5[[#This Row],[S]]*표1_5[[#This Row],[OC]]))</f>
        <v>727040</v>
      </c>
      <c r="AO13">
        <f>표1_5[[#This Row],[MAC 수]]/표1_5[[#This Row],[Memory Traffic]]</f>
        <v>6.6253521126760564</v>
      </c>
    </row>
    <row r="14" spans="1:43">
      <c r="A14" s="1"/>
      <c r="B14">
        <v>13</v>
      </c>
      <c r="C14" s="2" t="s">
        <v>11</v>
      </c>
      <c r="D14">
        <v>14</v>
      </c>
      <c r="E14">
        <v>14</v>
      </c>
      <c r="F14">
        <f t="shared" si="2"/>
        <v>196</v>
      </c>
      <c r="G14">
        <v>192</v>
      </c>
      <c r="H14">
        <v>64</v>
      </c>
      <c r="I14">
        <f t="shared" si="0"/>
        <v>2408448</v>
      </c>
      <c r="J14">
        <f t="shared" si="1"/>
        <v>1</v>
      </c>
      <c r="K14">
        <f>표1_5[[#This Row],[MAC 수]]*표1_5[[#This Row],[Repeat]]</f>
        <v>2408448</v>
      </c>
      <c r="L14">
        <v>196</v>
      </c>
      <c r="M14">
        <v>192</v>
      </c>
      <c r="N14">
        <v>64</v>
      </c>
      <c r="O14">
        <f t="shared" si="3"/>
        <v>3200000000</v>
      </c>
      <c r="P14">
        <f>표1_5[[#This Row],[tile_S]]*CEILING((표1_5[[#This Row],[tile_IC]]/8),1)</f>
        <v>4704</v>
      </c>
      <c r="Q14">
        <f>표1_5[[#This Row],[tile_S]]*CEILING(표1_5[[#This Row],[tile_OC]]/4,1)</f>
        <v>3136</v>
      </c>
      <c r="R14">
        <f>표1_5[[#This Row],[tile_IC]]*CEILING((표1_5[[#This Row],[tile_OC]]/4),1)</f>
        <v>3072</v>
      </c>
      <c r="S14">
        <v>3.6985999999999998E-2</v>
      </c>
      <c r="T14">
        <f>표1_5[[#This Row],[MAC 수]]/표1_5[[#This Row],[CPU reference time(s)]]</f>
        <v>65117828.367490403</v>
      </c>
      <c r="U14">
        <v>1.3982E-2</v>
      </c>
      <c r="V14">
        <f>표1_5[[#This Row],[MAC 수]]/표1_5[[#This Row],[FPGA End-to-End time(s)]]</f>
        <v>172253468.74552998</v>
      </c>
      <c r="W14">
        <v>8.0599999999999997E-4</v>
      </c>
      <c r="X14">
        <f>표1_5[[#This Row],[MAC 수]]/표1_5[[#This Row],[Pure HW compute time(s)]]</f>
        <v>2988148883.3746901</v>
      </c>
      <c r="Y14">
        <v>2.8410000000000002E-3</v>
      </c>
      <c r="Z14">
        <f>표1_5[[#This Row],[MAC 수]]/표1_5[[#This Row],[Kernel Time (s)]]</f>
        <v>847746568.10982037</v>
      </c>
      <c r="AA14">
        <f>표1_5[[#This Row],[FPGA Pure Compute Throughput]]/표1_5[[#This Row],[Theoretical Peak MAC/s]]*100</f>
        <v>93.379652605459057</v>
      </c>
      <c r="AB14">
        <v>4.7149999999999996E-3</v>
      </c>
      <c r="AC14">
        <v>2.3340000000000001E-3</v>
      </c>
      <c r="AD14">
        <f>표1_5[[#This Row],[Kernel Time (s)]]+표1_5[[#This Row],[Input DMA time (s)]]+표1_5[[#This Row],[Weight DMA time (s)]]-표1_5[[#This Row],[Pure HW compute time(s)]]</f>
        <v>9.0840000000000001E-3</v>
      </c>
      <c r="AE14">
        <f>표1_5[[#This Row],[FPGA End-to-End time(s)]]-(표1_5[[#This Row],[Kernel Time (s)]]+표1_5[[#This Row],[Input DMA time (s)]]+표1_5[[#This Row],[Weight DMA time (s)]])</f>
        <v>4.0920000000000002E-3</v>
      </c>
      <c r="AF14">
        <f>표1_5[[#This Row],[Input DMA time (s)]]/표1_5[[#This Row],[FPGA End-to-End time(s)]]*100</f>
        <v>33.721928193391506</v>
      </c>
      <c r="AG14">
        <f>표1_5[[#This Row],[Weight DMA time (s)]]/표1_5[[#This Row],[FPGA End-to-End time(s)]]*100</f>
        <v>16.69289085967673</v>
      </c>
      <c r="AH14">
        <f>표1_5[[#This Row],[Input DMA 비율 (%)]]+표1_5[[#This Row],[Weight DMA 비율 (%)]]</f>
        <v>50.414819053068236</v>
      </c>
      <c r="AI14">
        <f>(표1_5[[#This Row],[Input DMA time (s)]]+표1_5[[#This Row],[Weight DMA time (s)]]+표1_5[[#This Row],[Kernel Time (s)]]-표1_5[[#This Row],[Pure HW compute time(s)]])/표1_5[[#This Row],[FPGA End-to-End time(s)]]*100</f>
        <v>64.96924617365184</v>
      </c>
      <c r="AJ14">
        <f>표1_5[[#This Row],[Host Overhead Time (s)]]/표1_5[[#This Row],[FPGA End-to-End time(s)]]*100</f>
        <v>29.266199399227581</v>
      </c>
      <c r="AK14">
        <f>표1_5[[#This Row],[Pure HW compute time(s)]]/표1_5[[#This Row],[Kernel Time (s)]]*100</f>
        <v>28.370292150651178</v>
      </c>
      <c r="AL14">
        <f>표1_5[[#This Row],[CPU reference time(s)]]/표1_5[[#This Row],[FPGA End-to-End time(s)]]</f>
        <v>2.6452581891002716</v>
      </c>
      <c r="AM14">
        <f>표1_5[[#This Row],[CPU reference time(s)]]/표1_5[[#This Row],[Pure HW compute time(s)]]</f>
        <v>45.888337468982627</v>
      </c>
      <c r="AN14">
        <f>(4*(표1_5[[#This Row],[S]]*표1_5[[#This Row],[IC]])+4*(표1_5[[#This Row],[IC]]*표1_5[[#This Row],[OC]])+4*(표1_5[[#This Row],[S]]*표1_5[[#This Row],[OC]]))</f>
        <v>249856</v>
      </c>
      <c r="AO14">
        <f>표1_5[[#This Row],[MAC 수]]/표1_5[[#This Row],[Memory Traffic]]</f>
        <v>9.6393442622950811</v>
      </c>
    </row>
    <row r="15" spans="1:43">
      <c r="A15" s="1"/>
      <c r="B15">
        <v>14</v>
      </c>
      <c r="C15" s="2" t="s">
        <v>13</v>
      </c>
      <c r="D15">
        <v>14</v>
      </c>
      <c r="E15">
        <v>14</v>
      </c>
      <c r="F15">
        <f t="shared" si="2"/>
        <v>196</v>
      </c>
      <c r="G15">
        <v>64</v>
      </c>
      <c r="H15">
        <v>384</v>
      </c>
      <c r="I15">
        <f t="shared" si="0"/>
        <v>4816896</v>
      </c>
      <c r="J15">
        <f t="shared" si="1"/>
        <v>2</v>
      </c>
      <c r="K15">
        <f>표1_5[[#This Row],[MAC 수]]*표1_5[[#This Row],[Repeat]]</f>
        <v>9633792</v>
      </c>
      <c r="L15">
        <v>156</v>
      </c>
      <c r="M15">
        <v>64</v>
      </c>
      <c r="N15">
        <v>384</v>
      </c>
      <c r="O15">
        <f t="shared" si="3"/>
        <v>3200000000</v>
      </c>
      <c r="P15">
        <f>표1_5[[#This Row],[tile_S]]*CEILING((표1_5[[#This Row],[tile_IC]]/8),1)</f>
        <v>1248</v>
      </c>
      <c r="Q15">
        <f>표1_5[[#This Row],[tile_S]]*CEILING(표1_5[[#This Row],[tile_OC]]/4,1)</f>
        <v>14976</v>
      </c>
      <c r="R15">
        <f>표1_5[[#This Row],[tile_IC]]*CEILING((표1_5[[#This Row],[tile_OC]]/4),1)</f>
        <v>6144</v>
      </c>
      <c r="S15">
        <v>5.6453999999999997E-2</v>
      </c>
      <c r="T15">
        <f>표1_5[[#This Row],[MAC 수]]/표1_5[[#This Row],[CPU reference time(s)]]</f>
        <v>85324264.002550751</v>
      </c>
      <c r="U15">
        <v>3.2801999999999998E-2</v>
      </c>
      <c r="V15">
        <f>표1_5[[#This Row],[MAC 수]]/표1_5[[#This Row],[FPGA End-to-End time(s)]]</f>
        <v>146847631.24199745</v>
      </c>
      <c r="W15">
        <v>1.72E-3</v>
      </c>
      <c r="X15">
        <f>표1_5[[#This Row],[MAC 수]]/표1_5[[#This Row],[Pure HW compute time(s)]]</f>
        <v>2800520930.2325583</v>
      </c>
      <c r="Y15">
        <v>8.3320000000000009E-3</v>
      </c>
      <c r="Z15">
        <f>표1_5[[#This Row],[MAC 수]]/표1_5[[#This Row],[Kernel Time (s)]]</f>
        <v>578120019.20307243</v>
      </c>
      <c r="AA15">
        <f>표1_5[[#This Row],[FPGA Pure Compute Throughput]]/표1_5[[#This Row],[Theoretical Peak MAC/s]]*100</f>
        <v>87.51627906976745</v>
      </c>
      <c r="AB15">
        <v>4.7229999999999998E-3</v>
      </c>
      <c r="AC15">
        <v>6.2779999999999997E-3</v>
      </c>
      <c r="AD15">
        <f>표1_5[[#This Row],[Kernel Time (s)]]+표1_5[[#This Row],[Input DMA time (s)]]+표1_5[[#This Row],[Weight DMA time (s)]]-표1_5[[#This Row],[Pure HW compute time(s)]]</f>
        <v>1.7613E-2</v>
      </c>
      <c r="AE15">
        <f>표1_5[[#This Row],[FPGA End-to-End time(s)]]-(표1_5[[#This Row],[Kernel Time (s)]]+표1_5[[#This Row],[Input DMA time (s)]]+표1_5[[#This Row],[Weight DMA time (s)]])</f>
        <v>1.3468999999999998E-2</v>
      </c>
      <c r="AF15">
        <f>표1_5[[#This Row],[Input DMA time (s)]]/표1_5[[#This Row],[FPGA End-to-End time(s)]]*100</f>
        <v>14.39851228583623</v>
      </c>
      <c r="AG15">
        <f>표1_5[[#This Row],[Weight DMA time (s)]]/표1_5[[#This Row],[FPGA End-to-End time(s)]]*100</f>
        <v>19.13907688555576</v>
      </c>
      <c r="AH15">
        <f>표1_5[[#This Row],[Input DMA 비율 (%)]]+표1_5[[#This Row],[Weight DMA 비율 (%)]]</f>
        <v>33.537589171391986</v>
      </c>
      <c r="AI15">
        <f>(표1_5[[#This Row],[Input DMA time (s)]]+표1_5[[#This Row],[Weight DMA time (s)]]+표1_5[[#This Row],[Kernel Time (s)]]-표1_5[[#This Row],[Pure HW compute time(s)]])/표1_5[[#This Row],[FPGA End-to-End time(s)]]*100</f>
        <v>53.694896652643145</v>
      </c>
      <c r="AJ15">
        <f>표1_5[[#This Row],[Host Overhead Time (s)]]/표1_5[[#This Row],[FPGA End-to-End time(s)]]*100</f>
        <v>41.061520638985428</v>
      </c>
      <c r="AK15">
        <f>표1_5[[#This Row],[Pure HW compute time(s)]]/표1_5[[#This Row],[Kernel Time (s)]]*100</f>
        <v>20.64330292846855</v>
      </c>
      <c r="AL15">
        <f>표1_5[[#This Row],[CPU reference time(s)]]/표1_5[[#This Row],[FPGA End-to-End time(s)]]</f>
        <v>1.721053594293031</v>
      </c>
      <c r="AM15">
        <f>표1_5[[#This Row],[CPU reference time(s)]]/표1_5[[#This Row],[Pure HW compute time(s)]]</f>
        <v>32.82209302325581</v>
      </c>
      <c r="AN15">
        <f>(4*(표1_5[[#This Row],[S]]*표1_5[[#This Row],[IC]])+4*(표1_5[[#This Row],[IC]]*표1_5[[#This Row],[OC]])+4*(표1_5[[#This Row],[S]]*표1_5[[#This Row],[OC]]))</f>
        <v>449536</v>
      </c>
      <c r="AO15">
        <f>표1_5[[#This Row],[MAC 수]]/표1_5[[#This Row],[Memory Traffic]]</f>
        <v>10.715261958997722</v>
      </c>
    </row>
    <row r="16" spans="1:43">
      <c r="A16" s="1"/>
      <c r="B16">
        <v>15</v>
      </c>
      <c r="C16" s="2" t="s">
        <v>11</v>
      </c>
      <c r="D16">
        <v>14</v>
      </c>
      <c r="E16">
        <v>14</v>
      </c>
      <c r="F16">
        <f t="shared" si="2"/>
        <v>196</v>
      </c>
      <c r="G16">
        <v>384</v>
      </c>
      <c r="H16">
        <v>64</v>
      </c>
      <c r="I16">
        <f t="shared" si="0"/>
        <v>4816896</v>
      </c>
      <c r="J16">
        <f t="shared" si="1"/>
        <v>1</v>
      </c>
      <c r="K16">
        <f>표1_5[[#This Row],[MAC 수]]*표1_5[[#This Row],[Repeat]]</f>
        <v>4816896</v>
      </c>
      <c r="L16">
        <v>196</v>
      </c>
      <c r="M16">
        <v>384</v>
      </c>
      <c r="N16">
        <v>64</v>
      </c>
      <c r="O16">
        <f t="shared" si="3"/>
        <v>3200000000</v>
      </c>
      <c r="P16">
        <f>표1_5[[#This Row],[tile_S]]*CEILING((표1_5[[#This Row],[tile_IC]]/8),1)</f>
        <v>9408</v>
      </c>
      <c r="Q16">
        <f>표1_5[[#This Row],[tile_S]]*CEILING(표1_5[[#This Row],[tile_OC]]/4,1)</f>
        <v>3136</v>
      </c>
      <c r="R16">
        <f>표1_5[[#This Row],[tile_IC]]*CEILING((표1_5[[#This Row],[tile_OC]]/4),1)</f>
        <v>6144</v>
      </c>
      <c r="S16">
        <v>6.7600999999999994E-2</v>
      </c>
      <c r="T16">
        <f>표1_5[[#This Row],[MAC 수]]/표1_5[[#This Row],[CPU reference time(s)]]</f>
        <v>71254803.923018903</v>
      </c>
      <c r="U16">
        <v>1.8688E-2</v>
      </c>
      <c r="V16">
        <f>표1_5[[#This Row],[MAC 수]]/표1_5[[#This Row],[FPGA End-to-End time(s)]]</f>
        <v>257753424.65753424</v>
      </c>
      <c r="W16">
        <v>1.6130000000000001E-3</v>
      </c>
      <c r="X16">
        <f>표1_5[[#This Row],[MAC 수]]/표1_5[[#This Row],[Pure HW compute time(s)]]</f>
        <v>2986296342.2194667</v>
      </c>
      <c r="Y16">
        <v>3.7030000000000001E-3</v>
      </c>
      <c r="Z16">
        <f>표1_5[[#This Row],[MAC 수]]/표1_5[[#This Row],[Kernel Time (s)]]</f>
        <v>1300809073.7240076</v>
      </c>
      <c r="AA16">
        <f>표1_5[[#This Row],[FPGA Pure Compute Throughput]]/표1_5[[#This Row],[Theoretical Peak MAC/s]]*100</f>
        <v>93.321760694358332</v>
      </c>
      <c r="AB16">
        <v>7.6270000000000001E-3</v>
      </c>
      <c r="AC16">
        <v>3.2130000000000001E-3</v>
      </c>
      <c r="AD16">
        <f>표1_5[[#This Row],[Kernel Time (s)]]+표1_5[[#This Row],[Input DMA time (s)]]+표1_5[[#This Row],[Weight DMA time (s)]]-표1_5[[#This Row],[Pure HW compute time(s)]]</f>
        <v>1.2930000000000001E-2</v>
      </c>
      <c r="AE16">
        <f>표1_5[[#This Row],[FPGA End-to-End time(s)]]-(표1_5[[#This Row],[Kernel Time (s)]]+표1_5[[#This Row],[Input DMA time (s)]]+표1_5[[#This Row],[Weight DMA time (s)]])</f>
        <v>4.1449999999999994E-3</v>
      </c>
      <c r="AF16">
        <f>표1_5[[#This Row],[Input DMA time (s)]]/표1_5[[#This Row],[FPGA End-to-End time(s)]]*100</f>
        <v>40.812285958904113</v>
      </c>
      <c r="AG16">
        <f>표1_5[[#This Row],[Weight DMA time (s)]]/표1_5[[#This Row],[FPGA End-to-End time(s)]]*100</f>
        <v>17.192851027397261</v>
      </c>
      <c r="AH16">
        <f>표1_5[[#This Row],[Input DMA 비율 (%)]]+표1_5[[#This Row],[Weight DMA 비율 (%)]]</f>
        <v>58.005136986301373</v>
      </c>
      <c r="AI16">
        <f>(표1_5[[#This Row],[Input DMA time (s)]]+표1_5[[#This Row],[Weight DMA time (s)]]+표1_5[[#This Row],[Kernel Time (s)]]-표1_5[[#This Row],[Pure HW compute time(s)]])/표1_5[[#This Row],[FPGA End-to-End time(s)]]*100</f>
        <v>69.188784246575338</v>
      </c>
      <c r="AJ16">
        <f>표1_5[[#This Row],[Host Overhead Time (s)]]/표1_5[[#This Row],[FPGA End-to-End time(s)]]*100</f>
        <v>22.180008561643831</v>
      </c>
      <c r="AK16">
        <f>표1_5[[#This Row],[Pure HW compute time(s)]]/표1_5[[#This Row],[Kernel Time (s)]]*100</f>
        <v>43.559276262489874</v>
      </c>
      <c r="AL16">
        <f>표1_5[[#This Row],[CPU reference time(s)]]/표1_5[[#This Row],[FPGA End-to-End time(s)]]</f>
        <v>3.6173480308219177</v>
      </c>
      <c r="AM16">
        <f>표1_5[[#This Row],[CPU reference time(s)]]/표1_5[[#This Row],[Pure HW compute time(s)]]</f>
        <v>41.910105393676375</v>
      </c>
      <c r="AN16">
        <f>(4*(표1_5[[#This Row],[S]]*표1_5[[#This Row],[IC]])+4*(표1_5[[#This Row],[IC]]*표1_5[[#This Row],[OC]])+4*(표1_5[[#This Row],[S]]*표1_5[[#This Row],[OC]]))</f>
        <v>449536</v>
      </c>
      <c r="AO16">
        <f>표1_5[[#This Row],[MAC 수]]/표1_5[[#This Row],[Memory Traffic]]</f>
        <v>10.715261958997722</v>
      </c>
    </row>
    <row r="17" spans="1:41">
      <c r="A17" s="1"/>
      <c r="B17">
        <v>16</v>
      </c>
      <c r="C17" s="2" t="s">
        <v>13</v>
      </c>
      <c r="D17">
        <v>14</v>
      </c>
      <c r="E17">
        <v>14</v>
      </c>
      <c r="F17">
        <f t="shared" si="2"/>
        <v>196</v>
      </c>
      <c r="G17">
        <v>64</v>
      </c>
      <c r="H17">
        <v>384</v>
      </c>
      <c r="I17">
        <f t="shared" si="0"/>
        <v>4816896</v>
      </c>
      <c r="J17">
        <f t="shared" si="1"/>
        <v>2</v>
      </c>
      <c r="K17">
        <f>표1_5[[#This Row],[MAC 수]]*표1_5[[#This Row],[Repeat]]</f>
        <v>9633792</v>
      </c>
      <c r="L17">
        <v>156</v>
      </c>
      <c r="M17">
        <v>64</v>
      </c>
      <c r="N17">
        <v>384</v>
      </c>
      <c r="O17">
        <f t="shared" si="3"/>
        <v>3200000000</v>
      </c>
      <c r="P17">
        <f>표1_5[[#This Row],[tile_S]]*CEILING((표1_5[[#This Row],[tile_IC]]/8),1)</f>
        <v>1248</v>
      </c>
      <c r="Q17">
        <f>표1_5[[#This Row],[tile_S]]*CEILING(표1_5[[#This Row],[tile_OC]]/4,1)</f>
        <v>14976</v>
      </c>
      <c r="R17">
        <f>표1_5[[#This Row],[tile_IC]]*CEILING((표1_5[[#This Row],[tile_OC]]/4),1)</f>
        <v>6144</v>
      </c>
      <c r="S17">
        <v>5.6911000000000003E-2</v>
      </c>
      <c r="T17">
        <f>표1_5[[#This Row],[MAC 수]]/표1_5[[#This Row],[CPU reference time(s)]]</f>
        <v>84639103.161076054</v>
      </c>
      <c r="U17">
        <v>3.3848999999999997E-2</v>
      </c>
      <c r="V17">
        <f>표1_5[[#This Row],[MAC 수]]/표1_5[[#This Row],[FPGA End-to-End time(s)]]</f>
        <v>142305415.22644687</v>
      </c>
      <c r="W17">
        <v>1.72E-3</v>
      </c>
      <c r="X17">
        <f>표1_5[[#This Row],[MAC 수]]/표1_5[[#This Row],[Pure HW compute time(s)]]</f>
        <v>2800520930.2325583</v>
      </c>
      <c r="Y17">
        <v>8.6280000000000003E-3</v>
      </c>
      <c r="Z17">
        <f>표1_5[[#This Row],[MAC 수]]/표1_5[[#This Row],[Kernel Time (s)]]</f>
        <v>558286509.04033375</v>
      </c>
      <c r="AA17">
        <f>표1_5[[#This Row],[FPGA Pure Compute Throughput]]/표1_5[[#This Row],[Theoretical Peak MAC/s]]*100</f>
        <v>87.51627906976745</v>
      </c>
      <c r="AB17">
        <v>4.4580000000000002E-3</v>
      </c>
      <c r="AC17">
        <v>6.6750000000000004E-3</v>
      </c>
      <c r="AD17">
        <f>표1_5[[#This Row],[Kernel Time (s)]]+표1_5[[#This Row],[Input DMA time (s)]]+표1_5[[#This Row],[Weight DMA time (s)]]-표1_5[[#This Row],[Pure HW compute time(s)]]</f>
        <v>1.8041000000000001E-2</v>
      </c>
      <c r="AE17">
        <f>표1_5[[#This Row],[FPGA End-to-End time(s)]]-(표1_5[[#This Row],[Kernel Time (s)]]+표1_5[[#This Row],[Input DMA time (s)]]+표1_5[[#This Row],[Weight DMA time (s)]])</f>
        <v>1.4087999999999996E-2</v>
      </c>
      <c r="AF17">
        <f>표1_5[[#This Row],[Input DMA time (s)]]/표1_5[[#This Row],[FPGA End-to-End time(s)]]*100</f>
        <v>13.170256137552073</v>
      </c>
      <c r="AG17">
        <f>표1_5[[#This Row],[Weight DMA time (s)]]/표1_5[[#This Row],[FPGA End-to-End time(s)]]*100</f>
        <v>19.719932642027832</v>
      </c>
      <c r="AH17">
        <f>표1_5[[#This Row],[Input DMA 비율 (%)]]+표1_5[[#This Row],[Weight DMA 비율 (%)]]</f>
        <v>32.890188779579901</v>
      </c>
      <c r="AI17">
        <f>(표1_5[[#This Row],[Input DMA time (s)]]+표1_5[[#This Row],[Weight DMA time (s)]]+표1_5[[#This Row],[Kernel Time (s)]]-표1_5[[#This Row],[Pure HW compute time(s)]])/표1_5[[#This Row],[FPGA End-to-End time(s)]]*100</f>
        <v>53.298472628438077</v>
      </c>
      <c r="AJ17">
        <f>표1_5[[#This Row],[Host Overhead Time (s)]]/표1_5[[#This Row],[FPGA End-to-End time(s)]]*100</f>
        <v>41.620136488522547</v>
      </c>
      <c r="AK17">
        <f>표1_5[[#This Row],[Pure HW compute time(s)]]/표1_5[[#This Row],[Kernel Time (s)]]*100</f>
        <v>19.935095039406583</v>
      </c>
      <c r="AL17">
        <f>표1_5[[#This Row],[CPU reference time(s)]]/표1_5[[#This Row],[FPGA End-to-End time(s)]]</f>
        <v>1.6813199799107805</v>
      </c>
      <c r="AM17">
        <f>표1_5[[#This Row],[CPU reference time(s)]]/표1_5[[#This Row],[Pure HW compute time(s)]]</f>
        <v>33.087790697674421</v>
      </c>
      <c r="AN17">
        <f>(4*(표1_5[[#This Row],[S]]*표1_5[[#This Row],[IC]])+4*(표1_5[[#This Row],[IC]]*표1_5[[#This Row],[OC]])+4*(표1_5[[#This Row],[S]]*표1_5[[#This Row],[OC]]))</f>
        <v>449536</v>
      </c>
      <c r="AO17">
        <f>표1_5[[#This Row],[MAC 수]]/표1_5[[#This Row],[Memory Traffic]]</f>
        <v>10.715261958997722</v>
      </c>
    </row>
    <row r="18" spans="1:41">
      <c r="A18" s="1"/>
      <c r="B18">
        <v>17</v>
      </c>
      <c r="C18" s="2" t="s">
        <v>11</v>
      </c>
      <c r="D18">
        <v>14</v>
      </c>
      <c r="E18">
        <v>14</v>
      </c>
      <c r="F18">
        <f t="shared" si="2"/>
        <v>196</v>
      </c>
      <c r="G18">
        <v>384</v>
      </c>
      <c r="H18">
        <v>64</v>
      </c>
      <c r="I18">
        <f t="shared" si="0"/>
        <v>4816896</v>
      </c>
      <c r="J18">
        <f t="shared" si="1"/>
        <v>1</v>
      </c>
      <c r="K18">
        <f>표1_5[[#This Row],[MAC 수]]*표1_5[[#This Row],[Repeat]]</f>
        <v>4816896</v>
      </c>
      <c r="L18">
        <v>196</v>
      </c>
      <c r="M18">
        <v>384</v>
      </c>
      <c r="N18">
        <v>64</v>
      </c>
      <c r="O18">
        <f t="shared" si="3"/>
        <v>3200000000</v>
      </c>
      <c r="P18">
        <f>표1_5[[#This Row],[tile_S]]*CEILING((표1_5[[#This Row],[tile_IC]]/8),1)</f>
        <v>9408</v>
      </c>
      <c r="Q18">
        <f>표1_5[[#This Row],[tile_S]]*CEILING(표1_5[[#This Row],[tile_OC]]/4,1)</f>
        <v>3136</v>
      </c>
      <c r="R18">
        <f>표1_5[[#This Row],[tile_IC]]*CEILING((표1_5[[#This Row],[tile_OC]]/4),1)</f>
        <v>6144</v>
      </c>
      <c r="S18">
        <v>6.5914E-2</v>
      </c>
      <c r="T18">
        <f>표1_5[[#This Row],[MAC 수]]/표1_5[[#This Row],[CPU reference time(s)]]</f>
        <v>73078496.222350329</v>
      </c>
      <c r="U18">
        <v>1.8971999999999999E-2</v>
      </c>
      <c r="V18">
        <f>표1_5[[#This Row],[MAC 수]]/표1_5[[#This Row],[FPGA End-to-End time(s)]]</f>
        <v>253895003.16255537</v>
      </c>
      <c r="W18">
        <v>1.6130000000000001E-3</v>
      </c>
      <c r="X18">
        <f>표1_5[[#This Row],[MAC 수]]/표1_5[[#This Row],[Pure HW compute time(s)]]</f>
        <v>2986296342.2194667</v>
      </c>
      <c r="Y18">
        <v>3.702E-3</v>
      </c>
      <c r="Z18">
        <f>표1_5[[#This Row],[MAC 수]]/표1_5[[#This Row],[Kernel Time (s)]]</f>
        <v>1301160453.8087521</v>
      </c>
      <c r="AA18">
        <f>표1_5[[#This Row],[FPGA Pure Compute Throughput]]/표1_5[[#This Row],[Theoretical Peak MAC/s]]*100</f>
        <v>93.321760694358332</v>
      </c>
      <c r="AB18">
        <v>7.8580000000000004E-3</v>
      </c>
      <c r="AC18">
        <v>3.264E-3</v>
      </c>
      <c r="AD18">
        <f>표1_5[[#This Row],[Kernel Time (s)]]+표1_5[[#This Row],[Input DMA time (s)]]+표1_5[[#This Row],[Weight DMA time (s)]]-표1_5[[#This Row],[Pure HW compute time(s)]]</f>
        <v>1.3211000000000001E-2</v>
      </c>
      <c r="AE18">
        <f>표1_5[[#This Row],[FPGA End-to-End time(s)]]-(표1_5[[#This Row],[Kernel Time (s)]]+표1_5[[#This Row],[Input DMA time (s)]]+표1_5[[#This Row],[Weight DMA time (s)]])</f>
        <v>4.1479999999999989E-3</v>
      </c>
      <c r="AF18">
        <f>표1_5[[#This Row],[Input DMA time (s)]]/표1_5[[#This Row],[FPGA End-to-End time(s)]]*100</f>
        <v>41.41893316466372</v>
      </c>
      <c r="AG18">
        <f>표1_5[[#This Row],[Weight DMA time (s)]]/표1_5[[#This Row],[FPGA End-to-End time(s)]]*100</f>
        <v>17.20430107526882</v>
      </c>
      <c r="AH18">
        <f>표1_5[[#This Row],[Input DMA 비율 (%)]]+표1_5[[#This Row],[Weight DMA 비율 (%)]]</f>
        <v>58.623234239932543</v>
      </c>
      <c r="AI18">
        <f>(표1_5[[#This Row],[Input DMA time (s)]]+표1_5[[#This Row],[Weight DMA time (s)]]+표1_5[[#This Row],[Kernel Time (s)]]-표1_5[[#This Row],[Pure HW compute time(s)]])/표1_5[[#This Row],[FPGA End-to-End time(s)]]*100</f>
        <v>69.634197765127553</v>
      </c>
      <c r="AJ18">
        <f>표1_5[[#This Row],[Host Overhead Time (s)]]/표1_5[[#This Row],[FPGA End-to-End time(s)]]*100</f>
        <v>21.863799283154115</v>
      </c>
      <c r="AK18">
        <f>표1_5[[#This Row],[Pure HW compute time(s)]]/표1_5[[#This Row],[Kernel Time (s)]]*100</f>
        <v>43.571042679632633</v>
      </c>
      <c r="AL18">
        <f>표1_5[[#This Row],[CPU reference time(s)]]/표1_5[[#This Row],[FPGA End-to-End time(s)]]</f>
        <v>3.4742778831962893</v>
      </c>
      <c r="AM18">
        <f>표1_5[[#This Row],[CPU reference time(s)]]/표1_5[[#This Row],[Pure HW compute time(s)]]</f>
        <v>40.86422814631122</v>
      </c>
      <c r="AN18">
        <f>(4*(표1_5[[#This Row],[S]]*표1_5[[#This Row],[IC]])+4*(표1_5[[#This Row],[IC]]*표1_5[[#This Row],[OC]])+4*(표1_5[[#This Row],[S]]*표1_5[[#This Row],[OC]]))</f>
        <v>449536</v>
      </c>
      <c r="AO18">
        <f>표1_5[[#This Row],[MAC 수]]/표1_5[[#This Row],[Memory Traffic]]</f>
        <v>10.715261958997722</v>
      </c>
    </row>
    <row r="19" spans="1:41">
      <c r="A19" s="1"/>
      <c r="B19">
        <v>18</v>
      </c>
      <c r="C19" s="2" t="s">
        <v>13</v>
      </c>
      <c r="D19">
        <v>14</v>
      </c>
      <c r="E19">
        <v>14</v>
      </c>
      <c r="F19">
        <f t="shared" si="2"/>
        <v>196</v>
      </c>
      <c r="G19">
        <v>64</v>
      </c>
      <c r="H19">
        <v>384</v>
      </c>
      <c r="I19">
        <f t="shared" si="0"/>
        <v>4816896</v>
      </c>
      <c r="J19">
        <f t="shared" si="1"/>
        <v>2</v>
      </c>
      <c r="K19">
        <f>표1_5[[#This Row],[MAC 수]]*표1_5[[#This Row],[Repeat]]</f>
        <v>9633792</v>
      </c>
      <c r="L19">
        <v>156</v>
      </c>
      <c r="M19">
        <v>64</v>
      </c>
      <c r="N19">
        <v>384</v>
      </c>
      <c r="O19">
        <f t="shared" si="3"/>
        <v>3200000000</v>
      </c>
      <c r="P19">
        <f>표1_5[[#This Row],[tile_S]]*CEILING((표1_5[[#This Row],[tile_IC]]/8),1)</f>
        <v>1248</v>
      </c>
      <c r="Q19">
        <f>표1_5[[#This Row],[tile_S]]*CEILING(표1_5[[#This Row],[tile_OC]]/4,1)</f>
        <v>14976</v>
      </c>
      <c r="R19">
        <f>표1_5[[#This Row],[tile_IC]]*CEILING((표1_5[[#This Row],[tile_OC]]/4),1)</f>
        <v>6144</v>
      </c>
      <c r="S19">
        <v>5.1411999999999999E-2</v>
      </c>
      <c r="T19">
        <f>표1_5[[#This Row],[MAC 수]]/표1_5[[#This Row],[CPU reference time(s)]]</f>
        <v>93692056.329261646</v>
      </c>
      <c r="U19">
        <v>4.1657E-2</v>
      </c>
      <c r="V19">
        <f>표1_5[[#This Row],[MAC 수]]/표1_5[[#This Row],[FPGA End-to-End time(s)]]</f>
        <v>115632330.70072258</v>
      </c>
      <c r="W19">
        <v>1.72E-3</v>
      </c>
      <c r="X19">
        <f>표1_5[[#This Row],[MAC 수]]/표1_5[[#This Row],[Pure HW compute time(s)]]</f>
        <v>2800520930.2325583</v>
      </c>
      <c r="Y19">
        <v>9.5600000000000008E-3</v>
      </c>
      <c r="Z19">
        <f>표1_5[[#This Row],[MAC 수]]/표1_5[[#This Row],[Kernel Time (s)]]</f>
        <v>503859414.22594136</v>
      </c>
      <c r="AA19">
        <f>표1_5[[#This Row],[FPGA Pure Compute Throughput]]/표1_5[[#This Row],[Theoretical Peak MAC/s]]*100</f>
        <v>87.51627906976745</v>
      </c>
      <c r="AB19">
        <v>5.2129999999999998E-3</v>
      </c>
      <c r="AC19">
        <v>6.4619999999999999E-3</v>
      </c>
      <c r="AD19">
        <f>표1_5[[#This Row],[Kernel Time (s)]]+표1_5[[#This Row],[Input DMA time (s)]]+표1_5[[#This Row],[Weight DMA time (s)]]-표1_5[[#This Row],[Pure HW compute time(s)]]</f>
        <v>1.9515000000000001E-2</v>
      </c>
      <c r="AE19">
        <f>표1_5[[#This Row],[FPGA End-to-End time(s)]]-(표1_5[[#This Row],[Kernel Time (s)]]+표1_5[[#This Row],[Input DMA time (s)]]+표1_5[[#This Row],[Weight DMA time (s)]])</f>
        <v>2.0421999999999999E-2</v>
      </c>
      <c r="AF19">
        <f>표1_5[[#This Row],[Input DMA time (s)]]/표1_5[[#This Row],[FPGA End-to-End time(s)]]*100</f>
        <v>12.514103271959092</v>
      </c>
      <c r="AG19">
        <f>표1_5[[#This Row],[Weight DMA time (s)]]/표1_5[[#This Row],[FPGA End-to-End time(s)]]*100</f>
        <v>15.512398876539358</v>
      </c>
      <c r="AH19">
        <f>표1_5[[#This Row],[Input DMA 비율 (%)]]+표1_5[[#This Row],[Weight DMA 비율 (%)]]</f>
        <v>28.026502148498452</v>
      </c>
      <c r="AI19">
        <f>(표1_5[[#This Row],[Input DMA time (s)]]+표1_5[[#This Row],[Weight DMA time (s)]]+표1_5[[#This Row],[Kernel Time (s)]]-표1_5[[#This Row],[Pure HW compute time(s)]])/표1_5[[#This Row],[FPGA End-to-End time(s)]]*100</f>
        <v>46.846868473485856</v>
      </c>
      <c r="AJ19">
        <f>표1_5[[#This Row],[Host Overhead Time (s)]]/표1_5[[#This Row],[FPGA End-to-End time(s)]]*100</f>
        <v>49.024173608277117</v>
      </c>
      <c r="AK19">
        <f>표1_5[[#This Row],[Pure HW compute time(s)]]/표1_5[[#This Row],[Kernel Time (s)]]*100</f>
        <v>17.991631799163176</v>
      </c>
      <c r="AL19">
        <f>표1_5[[#This Row],[CPU reference time(s)]]/표1_5[[#This Row],[FPGA End-to-End time(s)]]</f>
        <v>1.2341743284441991</v>
      </c>
      <c r="AM19">
        <f>표1_5[[#This Row],[CPU reference time(s)]]/표1_5[[#This Row],[Pure HW compute time(s)]]</f>
        <v>29.890697674418604</v>
      </c>
      <c r="AN19">
        <f>(4*(표1_5[[#This Row],[S]]*표1_5[[#This Row],[IC]])+4*(표1_5[[#This Row],[IC]]*표1_5[[#This Row],[OC]])+4*(표1_5[[#This Row],[S]]*표1_5[[#This Row],[OC]]))</f>
        <v>449536</v>
      </c>
      <c r="AO19">
        <f>표1_5[[#This Row],[MAC 수]]/표1_5[[#This Row],[Memory Traffic]]</f>
        <v>10.715261958997722</v>
      </c>
    </row>
    <row r="20" spans="1:41">
      <c r="A20" s="1"/>
      <c r="B20">
        <v>19</v>
      </c>
      <c r="C20" s="2" t="s">
        <v>11</v>
      </c>
      <c r="D20">
        <v>14</v>
      </c>
      <c r="E20">
        <v>14</v>
      </c>
      <c r="F20">
        <f t="shared" si="2"/>
        <v>196</v>
      </c>
      <c r="G20">
        <v>384</v>
      </c>
      <c r="H20">
        <v>64</v>
      </c>
      <c r="I20">
        <f t="shared" si="0"/>
        <v>4816896</v>
      </c>
      <c r="J20">
        <f t="shared" si="1"/>
        <v>1</v>
      </c>
      <c r="K20">
        <f>표1_5[[#This Row],[MAC 수]]*표1_5[[#This Row],[Repeat]]</f>
        <v>4816896</v>
      </c>
      <c r="L20">
        <v>196</v>
      </c>
      <c r="M20">
        <v>384</v>
      </c>
      <c r="N20">
        <v>64</v>
      </c>
      <c r="O20">
        <f t="shared" si="3"/>
        <v>3200000000</v>
      </c>
      <c r="P20">
        <f>표1_5[[#This Row],[tile_S]]*CEILING((표1_5[[#This Row],[tile_IC]]/8),1)</f>
        <v>9408</v>
      </c>
      <c r="Q20">
        <f>표1_5[[#This Row],[tile_S]]*CEILING(표1_5[[#This Row],[tile_OC]]/4,1)</f>
        <v>3136</v>
      </c>
      <c r="R20">
        <f>표1_5[[#This Row],[tile_IC]]*CEILING((표1_5[[#This Row],[tile_OC]]/4),1)</f>
        <v>6144</v>
      </c>
      <c r="S20">
        <v>6.0988000000000001E-2</v>
      </c>
      <c r="T20">
        <f>표1_5[[#This Row],[MAC 수]]/표1_5[[#This Row],[CPU reference time(s)]]</f>
        <v>78981045.451564237</v>
      </c>
      <c r="U20">
        <v>1.8561999999999999E-2</v>
      </c>
      <c r="V20">
        <f>표1_5[[#This Row],[MAC 수]]/표1_5[[#This Row],[FPGA End-to-End time(s)]]</f>
        <v>259503070.78978559</v>
      </c>
      <c r="W20">
        <v>1.6130000000000001E-3</v>
      </c>
      <c r="X20">
        <f>표1_5[[#This Row],[MAC 수]]/표1_5[[#This Row],[Pure HW compute time(s)]]</f>
        <v>2986296342.2194667</v>
      </c>
      <c r="Y20">
        <v>4.2379999999999996E-3</v>
      </c>
      <c r="Z20">
        <f>표1_5[[#This Row],[MAC 수]]/표1_5[[#This Row],[Kernel Time (s)]]</f>
        <v>1136596507.7866919</v>
      </c>
      <c r="AA20">
        <f>표1_5[[#This Row],[FPGA Pure Compute Throughput]]/표1_5[[#This Row],[Theoretical Peak MAC/s]]*100</f>
        <v>93.321760694358332</v>
      </c>
      <c r="AB20">
        <v>7.0419999999999996E-3</v>
      </c>
      <c r="AC20">
        <v>3.2009999999999999E-3</v>
      </c>
      <c r="AD20">
        <f>표1_5[[#This Row],[Kernel Time (s)]]+표1_5[[#This Row],[Input DMA time (s)]]+표1_5[[#This Row],[Weight DMA time (s)]]-표1_5[[#This Row],[Pure HW compute time(s)]]</f>
        <v>1.2867999999999997E-2</v>
      </c>
      <c r="AE20">
        <f>표1_5[[#This Row],[FPGA End-to-End time(s)]]-(표1_5[[#This Row],[Kernel Time (s)]]+표1_5[[#This Row],[Input DMA time (s)]]+표1_5[[#This Row],[Weight DMA time (s)]])</f>
        <v>4.0810000000000013E-3</v>
      </c>
      <c r="AF20">
        <f>표1_5[[#This Row],[Input DMA time (s)]]/표1_5[[#This Row],[FPGA End-to-End time(s)]]*100</f>
        <v>37.937722228208173</v>
      </c>
      <c r="AG20">
        <f>표1_5[[#This Row],[Weight DMA time (s)]]/표1_5[[#This Row],[FPGA End-to-End time(s)]]*100</f>
        <v>17.244908953776534</v>
      </c>
      <c r="AH20">
        <f>표1_5[[#This Row],[Input DMA 비율 (%)]]+표1_5[[#This Row],[Weight DMA 비율 (%)]]</f>
        <v>55.182631181984704</v>
      </c>
      <c r="AI20">
        <f>(표1_5[[#This Row],[Input DMA time (s)]]+표1_5[[#This Row],[Weight DMA time (s)]]+표1_5[[#This Row],[Kernel Time (s)]]-표1_5[[#This Row],[Pure HW compute time(s)]])/표1_5[[#This Row],[FPGA End-to-End time(s)]]*100</f>
        <v>69.32442624717163</v>
      </c>
      <c r="AJ20">
        <f>표1_5[[#This Row],[Host Overhead Time (s)]]/표1_5[[#This Row],[FPGA End-to-End time(s)]]*100</f>
        <v>21.985777394677307</v>
      </c>
      <c r="AK20">
        <f>표1_5[[#This Row],[Pure HW compute time(s)]]/표1_5[[#This Row],[Kernel Time (s)]]*100</f>
        <v>38.060405851816896</v>
      </c>
      <c r="AL20">
        <f>표1_5[[#This Row],[CPU reference time(s)]]/표1_5[[#This Row],[FPGA End-to-End time(s)]]</f>
        <v>3.2856373235642713</v>
      </c>
      <c r="AM20">
        <f>표1_5[[#This Row],[CPU reference time(s)]]/표1_5[[#This Row],[Pure HW compute time(s)]]</f>
        <v>37.81029138251705</v>
      </c>
      <c r="AN20">
        <f>(4*(표1_5[[#This Row],[S]]*표1_5[[#This Row],[IC]])+4*(표1_5[[#This Row],[IC]]*표1_5[[#This Row],[OC]])+4*(표1_5[[#This Row],[S]]*표1_5[[#This Row],[OC]]))</f>
        <v>449536</v>
      </c>
      <c r="AO20">
        <f>표1_5[[#This Row],[MAC 수]]/표1_5[[#This Row],[Memory Traffic]]</f>
        <v>10.715261958997722</v>
      </c>
    </row>
    <row r="21" spans="1:41">
      <c r="A21" s="1">
        <v>5</v>
      </c>
      <c r="B21">
        <v>20</v>
      </c>
      <c r="C21" s="2" t="s">
        <v>13</v>
      </c>
      <c r="D21">
        <v>14</v>
      </c>
      <c r="E21">
        <v>14</v>
      </c>
      <c r="F21">
        <f t="shared" si="2"/>
        <v>196</v>
      </c>
      <c r="G21">
        <v>64</v>
      </c>
      <c r="H21">
        <v>384</v>
      </c>
      <c r="I21">
        <f t="shared" si="0"/>
        <v>4816896</v>
      </c>
      <c r="J21">
        <f t="shared" si="1"/>
        <v>2</v>
      </c>
      <c r="K21">
        <f>표1_5[[#This Row],[MAC 수]]*표1_5[[#This Row],[Repeat]]</f>
        <v>9633792</v>
      </c>
      <c r="L21">
        <v>156</v>
      </c>
      <c r="M21">
        <v>64</v>
      </c>
      <c r="N21">
        <v>384</v>
      </c>
      <c r="O21">
        <f t="shared" si="3"/>
        <v>3200000000</v>
      </c>
      <c r="P21">
        <f>표1_5[[#This Row],[tile_S]]*CEILING((표1_5[[#This Row],[tile_IC]]/8),1)</f>
        <v>1248</v>
      </c>
      <c r="Q21">
        <f>표1_5[[#This Row],[tile_S]]*CEILING(표1_5[[#This Row],[tile_OC]]/4,1)</f>
        <v>14976</v>
      </c>
      <c r="R21">
        <f>표1_5[[#This Row],[tile_IC]]*CEILING((표1_5[[#This Row],[tile_OC]]/4),1)</f>
        <v>6144</v>
      </c>
      <c r="S21">
        <v>5.21E-2</v>
      </c>
      <c r="T21">
        <f>표1_5[[#This Row],[MAC 수]]/표1_5[[#This Row],[CPU reference time(s)]]</f>
        <v>92454817.65834932</v>
      </c>
      <c r="U21">
        <v>3.4963000000000001E-2</v>
      </c>
      <c r="V21">
        <f>표1_5[[#This Row],[MAC 수]]/표1_5[[#This Row],[FPGA End-to-End time(s)]]</f>
        <v>137771243.88639417</v>
      </c>
      <c r="W21">
        <v>1.72E-3</v>
      </c>
      <c r="X21">
        <f>표1_5[[#This Row],[MAC 수]]/표1_5[[#This Row],[Pure HW compute time(s)]]</f>
        <v>2800520930.2325583</v>
      </c>
      <c r="Y21">
        <v>9.6100000000000005E-3</v>
      </c>
      <c r="Z21">
        <f>표1_5[[#This Row],[MAC 수]]/표1_5[[#This Row],[Kernel Time (s)]]</f>
        <v>501237877.21123827</v>
      </c>
      <c r="AA21">
        <f>표1_5[[#This Row],[FPGA Pure Compute Throughput]]/표1_5[[#This Row],[Theoretical Peak MAC/s]]*100</f>
        <v>87.51627906976745</v>
      </c>
      <c r="AB21">
        <v>5.6379999999999998E-3</v>
      </c>
      <c r="AC21">
        <v>6.1590000000000004E-3</v>
      </c>
      <c r="AD21">
        <f>표1_5[[#This Row],[Kernel Time (s)]]+표1_5[[#This Row],[Input DMA time (s)]]+표1_5[[#This Row],[Weight DMA time (s)]]-표1_5[[#This Row],[Pure HW compute time(s)]]</f>
        <v>1.9687000000000003E-2</v>
      </c>
      <c r="AE21">
        <f>표1_5[[#This Row],[FPGA End-to-End time(s)]]-(표1_5[[#This Row],[Kernel Time (s)]]+표1_5[[#This Row],[Input DMA time (s)]]+표1_5[[#This Row],[Weight DMA time (s)]])</f>
        <v>1.3555999999999999E-2</v>
      </c>
      <c r="AF21">
        <f>표1_5[[#This Row],[Input DMA time (s)]]/표1_5[[#This Row],[FPGA End-to-End time(s)]]*100</f>
        <v>16.125618510997338</v>
      </c>
      <c r="AG21">
        <f>표1_5[[#This Row],[Weight DMA time (s)]]/표1_5[[#This Row],[FPGA End-to-End time(s)]]*100</f>
        <v>17.615765237536827</v>
      </c>
      <c r="AH21">
        <f>표1_5[[#This Row],[Input DMA 비율 (%)]]+표1_5[[#This Row],[Weight DMA 비율 (%)]]</f>
        <v>33.741383748534162</v>
      </c>
      <c r="AI21">
        <f>(표1_5[[#This Row],[Input DMA time (s)]]+표1_5[[#This Row],[Weight DMA time (s)]]+표1_5[[#This Row],[Kernel Time (s)]]-표1_5[[#This Row],[Pure HW compute time(s)]])/표1_5[[#This Row],[FPGA End-to-End time(s)]]*100</f>
        <v>56.308097131253042</v>
      </c>
      <c r="AJ21">
        <f>표1_5[[#This Row],[Host Overhead Time (s)]]/표1_5[[#This Row],[FPGA End-to-End time(s)]]*100</f>
        <v>38.77241655464347</v>
      </c>
      <c r="AK21">
        <f>표1_5[[#This Row],[Pure HW compute time(s)]]/표1_5[[#This Row],[Kernel Time (s)]]*100</f>
        <v>17.898022892819977</v>
      </c>
      <c r="AL21">
        <f>표1_5[[#This Row],[CPU reference time(s)]]/표1_5[[#This Row],[FPGA End-to-End time(s)]]</f>
        <v>1.4901467265394845</v>
      </c>
      <c r="AM21">
        <f>표1_5[[#This Row],[CPU reference time(s)]]/표1_5[[#This Row],[Pure HW compute time(s)]]</f>
        <v>30.290697674418606</v>
      </c>
      <c r="AN21">
        <f>(4*(표1_5[[#This Row],[S]]*표1_5[[#This Row],[IC]])+4*(표1_5[[#This Row],[IC]]*표1_5[[#This Row],[OC]])+4*(표1_5[[#This Row],[S]]*표1_5[[#This Row],[OC]]))</f>
        <v>449536</v>
      </c>
      <c r="AO21">
        <f>표1_5[[#This Row],[MAC 수]]/표1_5[[#This Row],[Memory Traffic]]</f>
        <v>10.715261958997722</v>
      </c>
    </row>
    <row r="22" spans="1:41">
      <c r="A22" s="1"/>
      <c r="B22">
        <v>21</v>
      </c>
      <c r="C22" s="2" t="s">
        <v>11</v>
      </c>
      <c r="D22">
        <v>14</v>
      </c>
      <c r="E22">
        <v>14</v>
      </c>
      <c r="F22">
        <f t="shared" si="2"/>
        <v>196</v>
      </c>
      <c r="G22">
        <v>384</v>
      </c>
      <c r="H22">
        <v>96</v>
      </c>
      <c r="I22">
        <f t="shared" si="0"/>
        <v>7225344</v>
      </c>
      <c r="J22">
        <f t="shared" si="1"/>
        <v>2</v>
      </c>
      <c r="K22">
        <f>표1_5[[#This Row],[MAC 수]]*표1_5[[#This Row],[Repeat]]</f>
        <v>14450688</v>
      </c>
      <c r="L22">
        <v>156</v>
      </c>
      <c r="M22">
        <v>384</v>
      </c>
      <c r="N22">
        <v>96</v>
      </c>
      <c r="O22">
        <f t="shared" si="3"/>
        <v>3200000000</v>
      </c>
      <c r="P22">
        <f>표1_5[[#This Row],[tile_S]]*CEILING((표1_5[[#This Row],[tile_IC]]/8),1)</f>
        <v>7488</v>
      </c>
      <c r="Q22">
        <f>표1_5[[#This Row],[tile_S]]*CEILING(표1_5[[#This Row],[tile_OC]]/4,1)</f>
        <v>3744</v>
      </c>
      <c r="R22">
        <f>표1_5[[#This Row],[tile_IC]]*CEILING((표1_5[[#This Row],[tile_OC]]/4),1)</f>
        <v>9216</v>
      </c>
      <c r="S22">
        <v>9.2496999999999996E-2</v>
      </c>
      <c r="T22">
        <f>표1_5[[#This Row],[MAC 수]]/표1_5[[#This Row],[CPU reference time(s)]]</f>
        <v>78114360.465744838</v>
      </c>
      <c r="U22">
        <v>3.2967000000000003E-2</v>
      </c>
      <c r="V22">
        <f>표1_5[[#This Row],[MAC 수]]/표1_5[[#This Row],[FPGA End-to-End time(s)]]</f>
        <v>219168987.16898715</v>
      </c>
      <c r="W22">
        <v>2.5799999999999998E-3</v>
      </c>
      <c r="X22">
        <f>표1_5[[#This Row],[MAC 수]]/표1_5[[#This Row],[Pure HW compute time(s)]]</f>
        <v>2800520930.2325583</v>
      </c>
      <c r="Y22">
        <v>6.8640000000000003E-3</v>
      </c>
      <c r="Z22">
        <f>표1_5[[#This Row],[MAC 수]]/표1_5[[#This Row],[Kernel Time (s)]]</f>
        <v>1052643356.6433566</v>
      </c>
      <c r="AA22">
        <f>표1_5[[#This Row],[FPGA Pure Compute Throughput]]/표1_5[[#This Row],[Theoretical Peak MAC/s]]*100</f>
        <v>87.51627906976745</v>
      </c>
      <c r="AB22">
        <v>1.1416000000000001E-2</v>
      </c>
      <c r="AC22">
        <v>8.6379999999999998E-3</v>
      </c>
      <c r="AD22">
        <f>표1_5[[#This Row],[Kernel Time (s)]]+표1_5[[#This Row],[Input DMA time (s)]]+표1_5[[#This Row],[Weight DMA time (s)]]-표1_5[[#This Row],[Pure HW compute time(s)]]</f>
        <v>2.4338000000000002E-2</v>
      </c>
      <c r="AE22">
        <f>표1_5[[#This Row],[FPGA End-to-End time(s)]]-(표1_5[[#This Row],[Kernel Time (s)]]+표1_5[[#This Row],[Input DMA time (s)]]+표1_5[[#This Row],[Weight DMA time (s)]])</f>
        <v>6.0490000000000023E-3</v>
      </c>
      <c r="AF22">
        <f>표1_5[[#This Row],[Input DMA time (s)]]/표1_5[[#This Row],[FPGA End-to-End time(s)]]*100</f>
        <v>34.628567961901297</v>
      </c>
      <c r="AG22">
        <f>표1_5[[#This Row],[Weight DMA time (s)]]/표1_5[[#This Row],[FPGA End-to-End time(s)]]*100</f>
        <v>26.201959535292868</v>
      </c>
      <c r="AH22">
        <f>표1_5[[#This Row],[Input DMA 비율 (%)]]+표1_5[[#This Row],[Weight DMA 비율 (%)]]</f>
        <v>60.830527497194169</v>
      </c>
      <c r="AI22">
        <f>(표1_5[[#This Row],[Input DMA time (s)]]+표1_5[[#This Row],[Weight DMA time (s)]]+표1_5[[#This Row],[Kernel Time (s)]]-표1_5[[#This Row],[Pure HW compute time(s)]])/표1_5[[#This Row],[FPGA End-to-End time(s)]]*100</f>
        <v>73.825340492007157</v>
      </c>
      <c r="AJ22">
        <f>표1_5[[#This Row],[Host Overhead Time (s)]]/표1_5[[#This Row],[FPGA End-to-End time(s)]]*100</f>
        <v>18.348651681985022</v>
      </c>
      <c r="AK22">
        <f>표1_5[[#This Row],[Pure HW compute time(s)]]/표1_5[[#This Row],[Kernel Time (s)]]*100</f>
        <v>37.587412587412587</v>
      </c>
      <c r="AL22">
        <f>표1_5[[#This Row],[CPU reference time(s)]]/표1_5[[#This Row],[FPGA End-to-End time(s)]]</f>
        <v>2.8057451390784722</v>
      </c>
      <c r="AM22">
        <f>표1_5[[#This Row],[CPU reference time(s)]]/표1_5[[#This Row],[Pure HW compute time(s)]]</f>
        <v>35.851550387596902</v>
      </c>
      <c r="AN22">
        <f>(4*(표1_5[[#This Row],[S]]*표1_5[[#This Row],[IC]])+4*(표1_5[[#This Row],[IC]]*표1_5[[#This Row],[OC]])+4*(표1_5[[#This Row],[S]]*표1_5[[#This Row],[OC]]))</f>
        <v>523776</v>
      </c>
      <c r="AO22">
        <f>표1_5[[#This Row],[MAC 수]]/표1_5[[#This Row],[Memory Traffic]]</f>
        <v>13.794721407624634</v>
      </c>
    </row>
    <row r="23" spans="1:41">
      <c r="A23" s="1"/>
      <c r="B23">
        <v>22</v>
      </c>
      <c r="C23" s="2" t="s">
        <v>13</v>
      </c>
      <c r="D23">
        <v>14</v>
      </c>
      <c r="E23">
        <v>14</v>
      </c>
      <c r="F23">
        <f t="shared" si="2"/>
        <v>196</v>
      </c>
      <c r="G23">
        <v>96</v>
      </c>
      <c r="H23">
        <v>576</v>
      </c>
      <c r="I23">
        <f t="shared" si="0"/>
        <v>10838016</v>
      </c>
      <c r="J23">
        <f t="shared" si="1"/>
        <v>2</v>
      </c>
      <c r="K23">
        <f>표1_5[[#This Row],[MAC 수]]*표1_5[[#This Row],[Repeat]]</f>
        <v>21676032</v>
      </c>
      <c r="L23">
        <v>104</v>
      </c>
      <c r="M23">
        <v>96</v>
      </c>
      <c r="N23">
        <v>576</v>
      </c>
      <c r="O23">
        <f t="shared" si="3"/>
        <v>3200000000</v>
      </c>
      <c r="P23">
        <f>표1_5[[#This Row],[tile_S]]*CEILING((표1_5[[#This Row],[tile_IC]]/8),1)</f>
        <v>1248</v>
      </c>
      <c r="Q23">
        <f>표1_5[[#This Row],[tile_S]]*CEILING(표1_5[[#This Row],[tile_OC]]/4,1)</f>
        <v>14976</v>
      </c>
      <c r="R23">
        <f>표1_5[[#This Row],[tile_IC]]*CEILING((표1_5[[#This Row],[tile_OC]]/4),1)</f>
        <v>13824</v>
      </c>
      <c r="S23">
        <v>0.127498</v>
      </c>
      <c r="T23">
        <f>표1_5[[#This Row],[MAC 수]]/표1_5[[#This Row],[CPU reference time(s)]]</f>
        <v>85005380.476556495</v>
      </c>
      <c r="U23">
        <v>4.9264000000000002E-2</v>
      </c>
      <c r="V23">
        <f>표1_5[[#This Row],[MAC 수]]/표1_5[[#This Row],[FPGA End-to-End time(s)]]</f>
        <v>219998700.87690806</v>
      </c>
      <c r="W23">
        <v>3.8709999999999999E-3</v>
      </c>
      <c r="X23">
        <f>표1_5[[#This Row],[MAC 수]]/표1_5[[#This Row],[Pure HW compute time(s)]]</f>
        <v>2799797468.3544307</v>
      </c>
      <c r="Y23">
        <v>1.3686E-2</v>
      </c>
      <c r="Z23">
        <f>표1_5[[#This Row],[MAC 수]]/표1_5[[#This Row],[Kernel Time (s)]]</f>
        <v>791905304.690925</v>
      </c>
      <c r="AA23">
        <f>표1_5[[#This Row],[FPGA Pure Compute Throughput]]/표1_5[[#This Row],[Theoretical Peak MAC/s]]*100</f>
        <v>87.493670886075961</v>
      </c>
      <c r="AB23">
        <v>5.9800000000000001E-3</v>
      </c>
      <c r="AC23">
        <v>1.1296E-2</v>
      </c>
      <c r="AD23">
        <f>표1_5[[#This Row],[Kernel Time (s)]]+표1_5[[#This Row],[Input DMA time (s)]]+표1_5[[#This Row],[Weight DMA time (s)]]-표1_5[[#This Row],[Pure HW compute time(s)]]</f>
        <v>2.7091E-2</v>
      </c>
      <c r="AE23">
        <f>표1_5[[#This Row],[FPGA End-to-End time(s)]]-(표1_5[[#This Row],[Kernel Time (s)]]+표1_5[[#This Row],[Input DMA time (s)]]+표1_5[[#This Row],[Weight DMA time (s)]])</f>
        <v>1.8302000000000002E-2</v>
      </c>
      <c r="AF23">
        <f>표1_5[[#This Row],[Input DMA time (s)]]/표1_5[[#This Row],[FPGA End-to-End time(s)]]*100</f>
        <v>12.138681390061707</v>
      </c>
      <c r="AG23">
        <f>표1_5[[#This Row],[Weight DMA time (s)]]/표1_5[[#This Row],[FPGA End-to-End time(s)]]*100</f>
        <v>22.929522572263721</v>
      </c>
      <c r="AH23">
        <f>표1_5[[#This Row],[Input DMA 비율 (%)]]+표1_5[[#This Row],[Weight DMA 비율 (%)]]</f>
        <v>35.068203962325427</v>
      </c>
      <c r="AI23">
        <f>(표1_5[[#This Row],[Input DMA time (s)]]+표1_5[[#This Row],[Weight DMA time (s)]]+표1_5[[#This Row],[Kernel Time (s)]]-표1_5[[#This Row],[Pure HW compute time(s)]])/표1_5[[#This Row],[FPGA End-to-End time(s)]]*100</f>
        <v>54.991474504709316</v>
      </c>
      <c r="AJ23">
        <f>표1_5[[#This Row],[Host Overhead Time (s)]]/표1_5[[#This Row],[FPGA End-to-End time(s)]]*100</f>
        <v>37.150860669048399</v>
      </c>
      <c r="AK23">
        <f>표1_5[[#This Row],[Pure HW compute time(s)]]/표1_5[[#This Row],[Kernel Time (s)]]*100</f>
        <v>28.28437819669735</v>
      </c>
      <c r="AL23">
        <f>표1_5[[#This Row],[CPU reference time(s)]]/표1_5[[#This Row],[FPGA End-to-End time(s)]]</f>
        <v>2.5880561870737253</v>
      </c>
      <c r="AM23">
        <f>표1_5[[#This Row],[CPU reference time(s)]]/표1_5[[#This Row],[Pure HW compute time(s)]]</f>
        <v>32.936708860759495</v>
      </c>
      <c r="AN23">
        <f>(4*(표1_5[[#This Row],[S]]*표1_5[[#This Row],[IC]])+4*(표1_5[[#This Row],[IC]]*표1_5[[#This Row],[OC]])+4*(표1_5[[#This Row],[S]]*표1_5[[#This Row],[OC]]))</f>
        <v>748032</v>
      </c>
      <c r="AO23">
        <f>표1_5[[#This Row],[MAC 수]]/표1_5[[#This Row],[Memory Traffic]]</f>
        <v>14.488706365503081</v>
      </c>
    </row>
    <row r="24" spans="1:41">
      <c r="A24" s="1"/>
      <c r="B24">
        <v>23</v>
      </c>
      <c r="C24" s="2" t="s">
        <v>11</v>
      </c>
      <c r="D24">
        <v>14</v>
      </c>
      <c r="E24">
        <v>14</v>
      </c>
      <c r="F24">
        <f t="shared" si="2"/>
        <v>196</v>
      </c>
      <c r="G24">
        <v>576</v>
      </c>
      <c r="H24">
        <v>96</v>
      </c>
      <c r="I24">
        <f t="shared" si="0"/>
        <v>10838016</v>
      </c>
      <c r="J24">
        <f t="shared" si="1"/>
        <v>1</v>
      </c>
      <c r="K24">
        <f>표1_5[[#This Row],[MAC 수]]*표1_5[[#This Row],[Repeat]]</f>
        <v>10838016</v>
      </c>
      <c r="L24">
        <v>196</v>
      </c>
      <c r="M24">
        <v>576</v>
      </c>
      <c r="N24">
        <v>96</v>
      </c>
      <c r="O24">
        <f t="shared" si="3"/>
        <v>3200000000</v>
      </c>
      <c r="P24">
        <f>표1_5[[#This Row],[tile_S]]*CEILING((표1_5[[#This Row],[tile_IC]]/8),1)</f>
        <v>14112</v>
      </c>
      <c r="Q24">
        <f>표1_5[[#This Row],[tile_S]]*CEILING(표1_5[[#This Row],[tile_OC]]/4,1)</f>
        <v>4704</v>
      </c>
      <c r="R24">
        <f>표1_5[[#This Row],[tile_IC]]*CEILING((표1_5[[#This Row],[tile_OC]]/4),1)</f>
        <v>13824</v>
      </c>
      <c r="S24">
        <v>0.13797100000000001</v>
      </c>
      <c r="T24">
        <f>표1_5[[#This Row],[MAC 수]]/표1_5[[#This Row],[CPU reference time(s)]]</f>
        <v>78552855.310173869</v>
      </c>
      <c r="U24">
        <v>2.6634000000000001E-2</v>
      </c>
      <c r="V24">
        <f>표1_5[[#This Row],[MAC 수]]/표1_5[[#This Row],[FPGA End-to-End time(s)]]</f>
        <v>406924082.00045055</v>
      </c>
      <c r="W24">
        <v>3.6289999999999998E-3</v>
      </c>
      <c r="X24">
        <f>표1_5[[#This Row],[MAC 수]]/표1_5[[#This Row],[Pure HW compute time(s)]]</f>
        <v>2986502066.6850371</v>
      </c>
      <c r="Y24">
        <v>6.2729999999999999E-3</v>
      </c>
      <c r="Z24">
        <f>표1_5[[#This Row],[MAC 수]]/표1_5[[#This Row],[Kernel Time (s)]]</f>
        <v>1727724533.7159255</v>
      </c>
      <c r="AA24">
        <f>표1_5[[#This Row],[FPGA Pure Compute Throughput]]/표1_5[[#This Row],[Theoretical Peak MAC/s]]*100</f>
        <v>93.328189583907402</v>
      </c>
      <c r="AB24">
        <v>9.606E-3</v>
      </c>
      <c r="AC24">
        <v>5.7999999999999996E-3</v>
      </c>
      <c r="AD24">
        <f>표1_5[[#This Row],[Kernel Time (s)]]+표1_5[[#This Row],[Input DMA time (s)]]+표1_5[[#This Row],[Weight DMA time (s)]]-표1_5[[#This Row],[Pure HW compute time(s)]]</f>
        <v>1.805E-2</v>
      </c>
      <c r="AE24">
        <f>표1_5[[#This Row],[FPGA End-to-End time(s)]]-(표1_5[[#This Row],[Kernel Time (s)]]+표1_5[[#This Row],[Input DMA time (s)]]+표1_5[[#This Row],[Weight DMA time (s)]])</f>
        <v>4.9550000000000011E-3</v>
      </c>
      <c r="AF24">
        <f>표1_5[[#This Row],[Input DMA time (s)]]/표1_5[[#This Row],[FPGA End-to-End time(s)]]*100</f>
        <v>36.066681685064204</v>
      </c>
      <c r="AG24">
        <f>표1_5[[#This Row],[Weight DMA time (s)]]/표1_5[[#This Row],[FPGA End-to-End time(s)]]*100</f>
        <v>21.776676428625063</v>
      </c>
      <c r="AH24">
        <f>표1_5[[#This Row],[Input DMA 비율 (%)]]+표1_5[[#This Row],[Weight DMA 비율 (%)]]</f>
        <v>57.843358113689263</v>
      </c>
      <c r="AI24">
        <f>(표1_5[[#This Row],[Input DMA time (s)]]+표1_5[[#This Row],[Weight DMA time (s)]]+표1_5[[#This Row],[Kernel Time (s)]]-표1_5[[#This Row],[Pure HW compute time(s)]])/표1_5[[#This Row],[FPGA End-to-End time(s)]]*100</f>
        <v>67.7705188856349</v>
      </c>
      <c r="AJ24">
        <f>표1_5[[#This Row],[Host Overhead Time (s)]]/표1_5[[#This Row],[FPGA End-to-End time(s)]]*100</f>
        <v>18.604039948937451</v>
      </c>
      <c r="AK24">
        <f>표1_5[[#This Row],[Pure HW compute time(s)]]/표1_5[[#This Row],[Kernel Time (s)]]*100</f>
        <v>57.851107922843937</v>
      </c>
      <c r="AL24">
        <f>표1_5[[#This Row],[CPU reference time(s)]]/표1_5[[#This Row],[FPGA End-to-End time(s)]]</f>
        <v>5.1802583164376363</v>
      </c>
      <c r="AM24">
        <f>표1_5[[#This Row],[CPU reference time(s)]]/표1_5[[#This Row],[Pure HW compute time(s)]]</f>
        <v>38.019013502342247</v>
      </c>
      <c r="AN24">
        <f>(4*(표1_5[[#This Row],[S]]*표1_5[[#This Row],[IC]])+4*(표1_5[[#This Row],[IC]]*표1_5[[#This Row],[OC]])+4*(표1_5[[#This Row],[S]]*표1_5[[#This Row],[OC]]))</f>
        <v>748032</v>
      </c>
      <c r="AO24">
        <f>표1_5[[#This Row],[MAC 수]]/표1_5[[#This Row],[Memory Traffic]]</f>
        <v>14.488706365503081</v>
      </c>
    </row>
    <row r="25" spans="1:41">
      <c r="A25" s="1"/>
      <c r="B25">
        <v>24</v>
      </c>
      <c r="C25" s="2" t="s">
        <v>13</v>
      </c>
      <c r="D25">
        <v>14</v>
      </c>
      <c r="E25">
        <v>14</v>
      </c>
      <c r="F25">
        <f t="shared" si="2"/>
        <v>196</v>
      </c>
      <c r="G25">
        <v>96</v>
      </c>
      <c r="H25">
        <v>576</v>
      </c>
      <c r="I25">
        <f t="shared" si="0"/>
        <v>10838016</v>
      </c>
      <c r="J25">
        <f t="shared" si="1"/>
        <v>2</v>
      </c>
      <c r="K25">
        <f>표1_5[[#This Row],[MAC 수]]*표1_5[[#This Row],[Repeat]]</f>
        <v>21676032</v>
      </c>
      <c r="L25">
        <v>104</v>
      </c>
      <c r="M25">
        <v>96</v>
      </c>
      <c r="N25">
        <v>576</v>
      </c>
      <c r="O25">
        <f t="shared" si="3"/>
        <v>3200000000</v>
      </c>
      <c r="P25">
        <f>표1_5[[#This Row],[tile_S]]*CEILING((표1_5[[#This Row],[tile_IC]]/8),1)</f>
        <v>1248</v>
      </c>
      <c r="Q25">
        <f>표1_5[[#This Row],[tile_S]]*CEILING(표1_5[[#This Row],[tile_OC]]/4,1)</f>
        <v>14976</v>
      </c>
      <c r="R25">
        <f>표1_5[[#This Row],[tile_IC]]*CEILING((표1_5[[#This Row],[tile_OC]]/4),1)</f>
        <v>13824</v>
      </c>
      <c r="S25">
        <v>0.12654099999999999</v>
      </c>
      <c r="T25">
        <f>표1_5[[#This Row],[MAC 수]]/표1_5[[#This Row],[CPU reference time(s)]]</f>
        <v>85648256.296378255</v>
      </c>
      <c r="U25">
        <v>5.1707000000000003E-2</v>
      </c>
      <c r="V25">
        <f>표1_5[[#This Row],[MAC 수]]/표1_5[[#This Row],[FPGA End-to-End time(s)]]</f>
        <v>209604424.93279439</v>
      </c>
      <c r="W25">
        <v>3.8709999999999999E-3</v>
      </c>
      <c r="X25">
        <f>표1_5[[#This Row],[MAC 수]]/표1_5[[#This Row],[Pure HW compute time(s)]]</f>
        <v>2799797468.3544307</v>
      </c>
      <c r="Y25">
        <v>1.5802E-2</v>
      </c>
      <c r="Z25">
        <f>표1_5[[#This Row],[MAC 수]]/표1_5[[#This Row],[Kernel Time (s)]]</f>
        <v>685863561.57448423</v>
      </c>
      <c r="AA25">
        <f>표1_5[[#This Row],[FPGA Pure Compute Throughput]]/표1_5[[#This Row],[Theoretical Peak MAC/s]]*100</f>
        <v>87.493670886075961</v>
      </c>
      <c r="AB25">
        <v>6.2040000000000003E-3</v>
      </c>
      <c r="AC25">
        <v>1.1003000000000001E-2</v>
      </c>
      <c r="AD25">
        <f>표1_5[[#This Row],[Kernel Time (s)]]+표1_5[[#This Row],[Input DMA time (s)]]+표1_5[[#This Row],[Weight DMA time (s)]]-표1_5[[#This Row],[Pure HW compute time(s)]]</f>
        <v>2.9138000000000004E-2</v>
      </c>
      <c r="AE25">
        <f>표1_5[[#This Row],[FPGA End-to-End time(s)]]-(표1_5[[#This Row],[Kernel Time (s)]]+표1_5[[#This Row],[Input DMA time (s)]]+표1_5[[#This Row],[Weight DMA time (s)]])</f>
        <v>1.8697999999999999E-2</v>
      </c>
      <c r="AF25">
        <f>표1_5[[#This Row],[Input DMA time (s)]]/표1_5[[#This Row],[FPGA End-to-End time(s)]]*100</f>
        <v>11.998375461736321</v>
      </c>
      <c r="AG25">
        <f>표1_5[[#This Row],[Weight DMA time (s)]]/표1_5[[#This Row],[FPGA End-to-End time(s)]]*100</f>
        <v>21.279517280058794</v>
      </c>
      <c r="AH25">
        <f>표1_5[[#This Row],[Input DMA 비율 (%)]]+표1_5[[#This Row],[Weight DMA 비율 (%)]]</f>
        <v>33.277892741795114</v>
      </c>
      <c r="AI25">
        <f>(표1_5[[#This Row],[Input DMA time (s)]]+표1_5[[#This Row],[Weight DMA time (s)]]+표1_5[[#This Row],[Kernel Time (s)]]-표1_5[[#This Row],[Pure HW compute time(s)]])/표1_5[[#This Row],[FPGA End-to-End time(s)]]*100</f>
        <v>56.352138008393439</v>
      </c>
      <c r="AJ25">
        <f>표1_5[[#This Row],[Host Overhead Time (s)]]/표1_5[[#This Row],[FPGA End-to-End time(s)]]*100</f>
        <v>36.161448159823614</v>
      </c>
      <c r="AK25">
        <f>표1_5[[#This Row],[Pure HW compute time(s)]]/표1_5[[#This Row],[Kernel Time (s)]]*100</f>
        <v>24.496899126692824</v>
      </c>
      <c r="AL25">
        <f>표1_5[[#This Row],[CPU reference time(s)]]/표1_5[[#This Row],[FPGA End-to-End time(s)]]</f>
        <v>2.4472701955247835</v>
      </c>
      <c r="AM25">
        <f>표1_5[[#This Row],[CPU reference time(s)]]/표1_5[[#This Row],[Pure HW compute time(s)]]</f>
        <v>32.689485920950659</v>
      </c>
      <c r="AN25">
        <f>(4*(표1_5[[#This Row],[S]]*표1_5[[#This Row],[IC]])+4*(표1_5[[#This Row],[IC]]*표1_5[[#This Row],[OC]])+4*(표1_5[[#This Row],[S]]*표1_5[[#This Row],[OC]]))</f>
        <v>748032</v>
      </c>
      <c r="AO25">
        <f>표1_5[[#This Row],[MAC 수]]/표1_5[[#This Row],[Memory Traffic]]</f>
        <v>14.488706365503081</v>
      </c>
    </row>
    <row r="26" spans="1:41">
      <c r="A26" s="1"/>
      <c r="B26">
        <v>25</v>
      </c>
      <c r="C26" s="2" t="s">
        <v>11</v>
      </c>
      <c r="D26">
        <v>14</v>
      </c>
      <c r="E26">
        <v>14</v>
      </c>
      <c r="F26">
        <f t="shared" si="2"/>
        <v>196</v>
      </c>
      <c r="G26">
        <v>576</v>
      </c>
      <c r="H26">
        <v>96</v>
      </c>
      <c r="I26">
        <f t="shared" si="0"/>
        <v>10838016</v>
      </c>
      <c r="J26">
        <f t="shared" si="1"/>
        <v>1</v>
      </c>
      <c r="K26">
        <f>표1_5[[#This Row],[MAC 수]]*표1_5[[#This Row],[Repeat]]</f>
        <v>10838016</v>
      </c>
      <c r="L26">
        <v>196</v>
      </c>
      <c r="M26">
        <v>576</v>
      </c>
      <c r="N26">
        <v>96</v>
      </c>
      <c r="O26">
        <f t="shared" si="3"/>
        <v>3200000000</v>
      </c>
      <c r="P26">
        <f>표1_5[[#This Row],[tile_S]]*CEILING((표1_5[[#This Row],[tile_IC]]/8),1)</f>
        <v>14112</v>
      </c>
      <c r="Q26">
        <f>표1_5[[#This Row],[tile_S]]*CEILING(표1_5[[#This Row],[tile_OC]]/4,1)</f>
        <v>4704</v>
      </c>
      <c r="R26">
        <f>표1_5[[#This Row],[tile_IC]]*CEILING((표1_5[[#This Row],[tile_OC]]/4),1)</f>
        <v>13824</v>
      </c>
      <c r="S26">
        <v>0.13484499999999999</v>
      </c>
      <c r="T26">
        <f>표1_5[[#This Row],[MAC 수]]/표1_5[[#This Row],[CPU reference time(s)]]</f>
        <v>80373881.122770593</v>
      </c>
      <c r="U26">
        <v>2.7758999999999999E-2</v>
      </c>
      <c r="V26">
        <f>표1_5[[#This Row],[MAC 수]]/표1_5[[#This Row],[FPGA End-to-End time(s)]]</f>
        <v>390432508.37566197</v>
      </c>
      <c r="W26">
        <v>3.6289999999999998E-3</v>
      </c>
      <c r="X26">
        <f>표1_5[[#This Row],[MAC 수]]/표1_5[[#This Row],[Pure HW compute time(s)]]</f>
        <v>2986502066.6850371</v>
      </c>
      <c r="Y26">
        <v>6.5799999999999999E-3</v>
      </c>
      <c r="Z26">
        <f>표1_5[[#This Row],[MAC 수]]/표1_5[[#This Row],[Kernel Time (s)]]</f>
        <v>1647114893.6170213</v>
      </c>
      <c r="AA26">
        <f>표1_5[[#This Row],[FPGA Pure Compute Throughput]]/표1_5[[#This Row],[Theoretical Peak MAC/s]]*100</f>
        <v>93.328189583907402</v>
      </c>
      <c r="AB26">
        <v>1.0456999999999999E-2</v>
      </c>
      <c r="AC26">
        <v>5.7670000000000004E-3</v>
      </c>
      <c r="AD26">
        <f>표1_5[[#This Row],[Kernel Time (s)]]+표1_5[[#This Row],[Input DMA time (s)]]+표1_5[[#This Row],[Weight DMA time (s)]]-표1_5[[#This Row],[Pure HW compute time(s)]]</f>
        <v>1.9175000000000001E-2</v>
      </c>
      <c r="AE26">
        <f>표1_5[[#This Row],[FPGA End-to-End time(s)]]-(표1_5[[#This Row],[Kernel Time (s)]]+표1_5[[#This Row],[Input DMA time (s)]]+표1_5[[#This Row],[Weight DMA time (s)]])</f>
        <v>4.9549999999999976E-3</v>
      </c>
      <c r="AF26">
        <f>표1_5[[#This Row],[Input DMA time (s)]]/표1_5[[#This Row],[FPGA End-to-End time(s)]]*100</f>
        <v>37.67066536978998</v>
      </c>
      <c r="AG26">
        <f>표1_5[[#This Row],[Weight DMA time (s)]]/표1_5[[#This Row],[FPGA End-to-End time(s)]]*100</f>
        <v>20.775244064987934</v>
      </c>
      <c r="AH26">
        <f>표1_5[[#This Row],[Input DMA 비율 (%)]]+표1_5[[#This Row],[Weight DMA 비율 (%)]]</f>
        <v>58.445909434777917</v>
      </c>
      <c r="AI26">
        <f>(표1_5[[#This Row],[Input DMA time (s)]]+표1_5[[#This Row],[Weight DMA time (s)]]+표1_5[[#This Row],[Kernel Time (s)]]-표1_5[[#This Row],[Pure HW compute time(s)]])/표1_5[[#This Row],[FPGA End-to-End time(s)]]*100</f>
        <v>69.076695846392155</v>
      </c>
      <c r="AJ26">
        <f>표1_5[[#This Row],[Host Overhead Time (s)]]/표1_5[[#This Row],[FPGA End-to-End time(s)]]*100</f>
        <v>17.850066645052049</v>
      </c>
      <c r="AK26">
        <f>표1_5[[#This Row],[Pure HW compute time(s)]]/표1_5[[#This Row],[Kernel Time (s)]]*100</f>
        <v>55.151975683890576</v>
      </c>
      <c r="AL26">
        <f>표1_5[[#This Row],[CPU reference time(s)]]/표1_5[[#This Row],[FPGA End-to-End time(s)]]</f>
        <v>4.8577038077740555</v>
      </c>
      <c r="AM26">
        <f>표1_5[[#This Row],[CPU reference time(s)]]/표1_5[[#This Row],[Pure HW compute time(s)]]</f>
        <v>37.157619178837145</v>
      </c>
      <c r="AN26">
        <f>(4*(표1_5[[#This Row],[S]]*표1_5[[#This Row],[IC]])+4*(표1_5[[#This Row],[IC]]*표1_5[[#This Row],[OC]])+4*(표1_5[[#This Row],[S]]*표1_5[[#This Row],[OC]]))</f>
        <v>748032</v>
      </c>
      <c r="AO26">
        <f>표1_5[[#This Row],[MAC 수]]/표1_5[[#This Row],[Memory Traffic]]</f>
        <v>14.488706365503081</v>
      </c>
    </row>
    <row r="27" spans="1:41">
      <c r="A27" s="1">
        <v>6</v>
      </c>
      <c r="B27">
        <v>26</v>
      </c>
      <c r="C27" s="2" t="s">
        <v>13</v>
      </c>
      <c r="D27">
        <v>14</v>
      </c>
      <c r="E27">
        <v>14</v>
      </c>
      <c r="F27">
        <f t="shared" si="2"/>
        <v>196</v>
      </c>
      <c r="G27">
        <v>96</v>
      </c>
      <c r="H27">
        <v>576</v>
      </c>
      <c r="I27">
        <f t="shared" si="0"/>
        <v>10838016</v>
      </c>
      <c r="J27">
        <f t="shared" si="1"/>
        <v>2</v>
      </c>
      <c r="K27">
        <f>표1_5[[#This Row],[MAC 수]]*표1_5[[#This Row],[Repeat]]</f>
        <v>21676032</v>
      </c>
      <c r="L27">
        <v>104</v>
      </c>
      <c r="M27">
        <v>96</v>
      </c>
      <c r="N27">
        <v>576</v>
      </c>
      <c r="O27">
        <f t="shared" si="3"/>
        <v>3200000000</v>
      </c>
      <c r="P27">
        <f>표1_5[[#This Row],[tile_S]]*CEILING((표1_5[[#This Row],[tile_IC]]/8),1)</f>
        <v>1248</v>
      </c>
      <c r="Q27">
        <f>표1_5[[#This Row],[tile_S]]*CEILING(표1_5[[#This Row],[tile_OC]]/4,1)</f>
        <v>14976</v>
      </c>
      <c r="R27">
        <f>표1_5[[#This Row],[tile_IC]]*CEILING((표1_5[[#This Row],[tile_OC]]/4),1)</f>
        <v>13824</v>
      </c>
      <c r="S27">
        <v>0.12711800000000001</v>
      </c>
      <c r="T27">
        <f>표1_5[[#This Row],[MAC 수]]/표1_5[[#This Row],[CPU reference time(s)]]</f>
        <v>85259491.18142198</v>
      </c>
      <c r="U27">
        <v>5.0649E-2</v>
      </c>
      <c r="V27">
        <f>표1_5[[#This Row],[MAC 수]]/표1_5[[#This Row],[FPGA End-to-End time(s)]]</f>
        <v>213982822.9580051</v>
      </c>
      <c r="W27">
        <v>3.8709999999999999E-3</v>
      </c>
      <c r="X27">
        <f>표1_5[[#This Row],[MAC 수]]/표1_5[[#This Row],[Pure HW compute time(s)]]</f>
        <v>2799797468.3544307</v>
      </c>
      <c r="Y27">
        <v>1.5145E-2</v>
      </c>
      <c r="Z27">
        <f>표1_5[[#This Row],[MAC 수]]/표1_5[[#This Row],[Kernel Time (s)]]</f>
        <v>715616771.21162093</v>
      </c>
      <c r="AA27">
        <f>표1_5[[#This Row],[FPGA Pure Compute Throughput]]/표1_5[[#This Row],[Theoretical Peak MAC/s]]*100</f>
        <v>87.493670886075961</v>
      </c>
      <c r="AB27">
        <v>5.7580000000000001E-3</v>
      </c>
      <c r="AC27">
        <v>1.1169999999999999E-2</v>
      </c>
      <c r="AD27">
        <f>표1_5[[#This Row],[Kernel Time (s)]]+표1_5[[#This Row],[Input DMA time (s)]]+표1_5[[#This Row],[Weight DMA time (s)]]-표1_5[[#This Row],[Pure HW compute time(s)]]</f>
        <v>2.8202000000000005E-2</v>
      </c>
      <c r="AE27">
        <f>표1_5[[#This Row],[FPGA End-to-End time(s)]]-(표1_5[[#This Row],[Kernel Time (s)]]+표1_5[[#This Row],[Input DMA time (s)]]+표1_5[[#This Row],[Weight DMA time (s)]])</f>
        <v>1.8575999999999995E-2</v>
      </c>
      <c r="AF27">
        <f>표1_5[[#This Row],[Input DMA time (s)]]/표1_5[[#This Row],[FPGA End-to-End time(s)]]*100</f>
        <v>11.368437678927521</v>
      </c>
      <c r="AG27">
        <f>표1_5[[#This Row],[Weight DMA time (s)]]/표1_5[[#This Row],[FPGA End-to-End time(s)]]*100</f>
        <v>22.053742423344978</v>
      </c>
      <c r="AH27">
        <f>표1_5[[#This Row],[Input DMA 비율 (%)]]+표1_5[[#This Row],[Weight DMA 비율 (%)]]</f>
        <v>33.422180102272499</v>
      </c>
      <c r="AI27">
        <f>(표1_5[[#This Row],[Input DMA time (s)]]+표1_5[[#This Row],[Weight DMA time (s)]]+표1_5[[#This Row],[Kernel Time (s)]]-표1_5[[#This Row],[Pure HW compute time(s)]])/표1_5[[#This Row],[FPGA End-to-End time(s)]]*100</f>
        <v>55.681257280499118</v>
      </c>
      <c r="AJ27">
        <f>표1_5[[#This Row],[Host Overhead Time (s)]]/표1_5[[#This Row],[FPGA End-to-End time(s)]]*100</f>
        <v>36.675946218089194</v>
      </c>
      <c r="AK27">
        <f>표1_5[[#This Row],[Pure HW compute time(s)]]/표1_5[[#This Row],[Kernel Time (s)]]*100</f>
        <v>25.559590623968305</v>
      </c>
      <c r="AL27">
        <f>표1_5[[#This Row],[CPU reference time(s)]]/표1_5[[#This Row],[FPGA End-to-End time(s)]]</f>
        <v>2.5097830164465242</v>
      </c>
      <c r="AM27">
        <f>표1_5[[#This Row],[CPU reference time(s)]]/표1_5[[#This Row],[Pure HW compute time(s)]]</f>
        <v>32.838543012141571</v>
      </c>
      <c r="AN27">
        <f>(4*(표1_5[[#This Row],[S]]*표1_5[[#This Row],[IC]])+4*(표1_5[[#This Row],[IC]]*표1_5[[#This Row],[OC]])+4*(표1_5[[#This Row],[S]]*표1_5[[#This Row],[OC]]))</f>
        <v>748032</v>
      </c>
      <c r="AO27">
        <f>표1_5[[#This Row],[MAC 수]]/표1_5[[#This Row],[Memory Traffic]]</f>
        <v>14.488706365503081</v>
      </c>
    </row>
    <row r="28" spans="1:41">
      <c r="A28" s="1"/>
      <c r="B28">
        <v>27</v>
      </c>
      <c r="C28" s="2" t="s">
        <v>11</v>
      </c>
      <c r="D28">
        <v>7</v>
      </c>
      <c r="E28">
        <v>7</v>
      </c>
      <c r="F28">
        <f t="shared" si="2"/>
        <v>49</v>
      </c>
      <c r="G28">
        <v>576</v>
      </c>
      <c r="H28">
        <v>160</v>
      </c>
      <c r="I28">
        <f t="shared" si="0"/>
        <v>4515840</v>
      </c>
      <c r="J28">
        <f t="shared" si="1"/>
        <v>1</v>
      </c>
      <c r="K28">
        <f>표1_5[[#This Row],[MAC 수]]*표1_5[[#This Row],[Repeat]]</f>
        <v>4515840</v>
      </c>
      <c r="L28">
        <v>49</v>
      </c>
      <c r="M28">
        <v>576</v>
      </c>
      <c r="N28">
        <v>160</v>
      </c>
      <c r="O28">
        <f t="shared" si="3"/>
        <v>3200000000</v>
      </c>
      <c r="P28">
        <f>표1_5[[#This Row],[tile_S]]*CEILING((표1_5[[#This Row],[tile_IC]]/8),1)</f>
        <v>3528</v>
      </c>
      <c r="Q28">
        <f>표1_5[[#This Row],[tile_S]]*CEILING(표1_5[[#This Row],[tile_OC]]/4,1)</f>
        <v>1960</v>
      </c>
      <c r="R28">
        <f>표1_5[[#This Row],[tile_IC]]*CEILING((표1_5[[#This Row],[tile_OC]]/4),1)</f>
        <v>23040</v>
      </c>
      <c r="S28">
        <v>6.3269000000000006E-2</v>
      </c>
      <c r="T28">
        <f>표1_5[[#This Row],[MAC 수]]/표1_5[[#This Row],[CPU reference time(s)]]</f>
        <v>71375239.058622703</v>
      </c>
      <c r="U28">
        <v>1.9998999999999999E-2</v>
      </c>
      <c r="V28">
        <f>표1_5[[#This Row],[MAC 수]]/표1_5[[#This Row],[FPGA End-to-End time(s)]]</f>
        <v>225803290.16450822</v>
      </c>
      <c r="W28">
        <v>1.8140000000000001E-3</v>
      </c>
      <c r="X28">
        <f>표1_5[[#This Row],[MAC 수]]/표1_5[[#This Row],[Pure HW compute time(s)]]</f>
        <v>2489437706.7254686</v>
      </c>
      <c r="Y28">
        <v>4.0670000000000003E-3</v>
      </c>
      <c r="Z28">
        <f>표1_5[[#This Row],[MAC 수]]/표1_5[[#This Row],[Kernel Time (s)]]</f>
        <v>1110361445.7831326</v>
      </c>
      <c r="AA28">
        <f>표1_5[[#This Row],[FPGA Pure Compute Throughput]]/표1_5[[#This Row],[Theoretical Peak MAC/s]]*100</f>
        <v>77.794928335170894</v>
      </c>
      <c r="AB28">
        <v>4.6230000000000004E-3</v>
      </c>
      <c r="AC28">
        <v>8.3770000000000008E-3</v>
      </c>
      <c r="AD28">
        <f>표1_5[[#This Row],[Kernel Time (s)]]+표1_5[[#This Row],[Input DMA time (s)]]+표1_5[[#This Row],[Weight DMA time (s)]]-표1_5[[#This Row],[Pure HW compute time(s)]]</f>
        <v>1.5252999999999999E-2</v>
      </c>
      <c r="AE28">
        <f>표1_5[[#This Row],[FPGA End-to-End time(s)]]-(표1_5[[#This Row],[Kernel Time (s)]]+표1_5[[#This Row],[Input DMA time (s)]]+표1_5[[#This Row],[Weight DMA time (s)]])</f>
        <v>2.9320000000000006E-3</v>
      </c>
      <c r="AF28">
        <f>표1_5[[#This Row],[Input DMA time (s)]]/표1_5[[#This Row],[FPGA End-to-End time(s)]]*100</f>
        <v>23.116155807790392</v>
      </c>
      <c r="AG28">
        <f>표1_5[[#This Row],[Weight DMA time (s)]]/표1_5[[#This Row],[FPGA End-to-End time(s)]]*100</f>
        <v>41.887094354717739</v>
      </c>
      <c r="AH28">
        <f>표1_5[[#This Row],[Input DMA 비율 (%)]]+표1_5[[#This Row],[Weight DMA 비율 (%)]]</f>
        <v>65.003250162508124</v>
      </c>
      <c r="AI28">
        <f>(표1_5[[#This Row],[Input DMA time (s)]]+표1_5[[#This Row],[Weight DMA time (s)]]+표1_5[[#This Row],[Kernel Time (s)]]-표1_5[[#This Row],[Pure HW compute time(s)]])/표1_5[[#This Row],[FPGA End-to-End time(s)]]*100</f>
        <v>76.268813440672048</v>
      </c>
      <c r="AJ28">
        <f>표1_5[[#This Row],[Host Overhead Time (s)]]/표1_5[[#This Row],[FPGA End-to-End time(s)]]*100</f>
        <v>14.660733036651836</v>
      </c>
      <c r="AK28">
        <f>표1_5[[#This Row],[Pure HW compute time(s)]]/표1_5[[#This Row],[Kernel Time (s)]]*100</f>
        <v>44.602901401524463</v>
      </c>
      <c r="AL28">
        <f>표1_5[[#This Row],[CPU reference time(s)]]/표1_5[[#This Row],[FPGA End-to-End time(s)]]</f>
        <v>3.163608180409021</v>
      </c>
      <c r="AM28">
        <f>표1_5[[#This Row],[CPU reference time(s)]]/표1_5[[#This Row],[Pure HW compute time(s)]]</f>
        <v>34.878169790518193</v>
      </c>
      <c r="AN28">
        <f>(4*(표1_5[[#This Row],[S]]*표1_5[[#This Row],[IC]])+4*(표1_5[[#This Row],[IC]]*표1_5[[#This Row],[OC]])+4*(표1_5[[#This Row],[S]]*표1_5[[#This Row],[OC]]))</f>
        <v>512896</v>
      </c>
      <c r="AO28">
        <f>표1_5[[#This Row],[MAC 수]]/표1_5[[#This Row],[Memory Traffic]]</f>
        <v>8.8045919640628902</v>
      </c>
    </row>
    <row r="29" spans="1:41">
      <c r="A29" s="1"/>
      <c r="B29">
        <v>28</v>
      </c>
      <c r="C29" s="2" t="s">
        <v>13</v>
      </c>
      <c r="D29">
        <v>7</v>
      </c>
      <c r="E29">
        <v>7</v>
      </c>
      <c r="F29">
        <f t="shared" si="2"/>
        <v>49</v>
      </c>
      <c r="G29">
        <v>160</v>
      </c>
      <c r="H29">
        <v>960</v>
      </c>
      <c r="I29">
        <f t="shared" si="0"/>
        <v>7526400</v>
      </c>
      <c r="J29">
        <f t="shared" si="1"/>
        <v>2</v>
      </c>
      <c r="K29">
        <f>표1_5[[#This Row],[MAC 수]]*표1_5[[#This Row],[Repeat]]</f>
        <v>15052800</v>
      </c>
      <c r="L29">
        <v>49</v>
      </c>
      <c r="M29">
        <v>160</v>
      </c>
      <c r="N29">
        <v>640</v>
      </c>
      <c r="O29">
        <f t="shared" si="3"/>
        <v>3200000000</v>
      </c>
      <c r="P29">
        <f>표1_5[[#This Row],[tile_S]]*CEILING((표1_5[[#This Row],[tile_IC]]/8),1)</f>
        <v>980</v>
      </c>
      <c r="Q29">
        <f>표1_5[[#This Row],[tile_S]]*CEILING(표1_5[[#This Row],[tile_OC]]/4,1)</f>
        <v>7840</v>
      </c>
      <c r="R29">
        <f>표1_5[[#This Row],[tile_IC]]*CEILING((표1_5[[#This Row],[tile_OC]]/4),1)</f>
        <v>25600</v>
      </c>
      <c r="S29">
        <v>6.5342999999999998E-2</v>
      </c>
      <c r="T29">
        <f>표1_5[[#This Row],[MAC 수]]/표1_5[[#This Row],[CPU reference time(s)]]</f>
        <v>115182957.62361692</v>
      </c>
      <c r="U29">
        <v>3.7293E-2</v>
      </c>
      <c r="V29">
        <f>표1_5[[#This Row],[MAC 수]]/표1_5[[#This Row],[FPGA End-to-End time(s)]]</f>
        <v>201818035.55627063</v>
      </c>
      <c r="W29">
        <v>3.0240000000000002E-3</v>
      </c>
      <c r="X29">
        <f>표1_5[[#This Row],[MAC 수]]/표1_5[[#This Row],[Pure HW compute time(s)]]</f>
        <v>2488888888.8888888</v>
      </c>
      <c r="Y29">
        <v>8.7399999999999995E-3</v>
      </c>
      <c r="Z29">
        <f>표1_5[[#This Row],[MAC 수]]/표1_5[[#This Row],[Kernel Time (s)]]</f>
        <v>861144164.75972545</v>
      </c>
      <c r="AA29">
        <f>표1_5[[#This Row],[FPGA Pure Compute Throughput]]/표1_5[[#This Row],[Theoretical Peak MAC/s]]*100</f>
        <v>77.777777777777786</v>
      </c>
      <c r="AB29">
        <v>4.8339999999999998E-3</v>
      </c>
      <c r="AC29">
        <v>1.3962E-2</v>
      </c>
      <c r="AD29">
        <f>표1_5[[#This Row],[Kernel Time (s)]]+표1_5[[#This Row],[Input DMA time (s)]]+표1_5[[#This Row],[Weight DMA time (s)]]-표1_5[[#This Row],[Pure HW compute time(s)]]</f>
        <v>2.4511999999999999E-2</v>
      </c>
      <c r="AE29">
        <f>표1_5[[#This Row],[FPGA End-to-End time(s)]]-(표1_5[[#This Row],[Kernel Time (s)]]+표1_5[[#This Row],[Input DMA time (s)]]+표1_5[[#This Row],[Weight DMA time (s)]])</f>
        <v>9.7570000000000018E-3</v>
      </c>
      <c r="AF29">
        <f>표1_5[[#This Row],[Input DMA time (s)]]/표1_5[[#This Row],[FPGA End-to-End time(s)]]*100</f>
        <v>12.962218110637385</v>
      </c>
      <c r="AG29">
        <f>표1_5[[#This Row],[Weight DMA time (s)]]/표1_5[[#This Row],[FPGA End-to-End time(s)]]*100</f>
        <v>37.438661410988658</v>
      </c>
      <c r="AH29">
        <f>표1_5[[#This Row],[Input DMA 비율 (%)]]+표1_5[[#This Row],[Weight DMA 비율 (%)]]</f>
        <v>50.400879521626045</v>
      </c>
      <c r="AI29">
        <f>(표1_5[[#This Row],[Input DMA time (s)]]+표1_5[[#This Row],[Weight DMA time (s)]]+표1_5[[#This Row],[Kernel Time (s)]]-표1_5[[#This Row],[Pure HW compute time(s)]])/표1_5[[#This Row],[FPGA End-to-End time(s)]]*100</f>
        <v>65.728152736438474</v>
      </c>
      <c r="AJ29">
        <f>표1_5[[#This Row],[Host Overhead Time (s)]]/표1_5[[#This Row],[FPGA End-to-End time(s)]]*100</f>
        <v>26.163086906389942</v>
      </c>
      <c r="AK29">
        <f>표1_5[[#This Row],[Pure HW compute time(s)]]/표1_5[[#This Row],[Kernel Time (s)]]*100</f>
        <v>34.599542334096114</v>
      </c>
      <c r="AL29">
        <f>표1_5[[#This Row],[CPU reference time(s)]]/표1_5[[#This Row],[FPGA End-to-End time(s)]]</f>
        <v>1.7521518783685945</v>
      </c>
      <c r="AM29">
        <f>표1_5[[#This Row],[CPU reference time(s)]]/표1_5[[#This Row],[Pure HW compute time(s)]]</f>
        <v>21.608134920634917</v>
      </c>
      <c r="AN29">
        <f>(4*(표1_5[[#This Row],[S]]*표1_5[[#This Row],[IC]])+4*(표1_5[[#This Row],[IC]]*표1_5[[#This Row],[OC]])+4*(표1_5[[#This Row],[S]]*표1_5[[#This Row],[OC]]))</f>
        <v>833920</v>
      </c>
      <c r="AO29">
        <f>표1_5[[#This Row],[MAC 수]]/표1_5[[#This Row],[Memory Traffic]]</f>
        <v>9.0253261703760561</v>
      </c>
    </row>
    <row r="30" spans="1:41">
      <c r="A30" s="1"/>
      <c r="B30">
        <v>29</v>
      </c>
      <c r="C30" s="2" t="s">
        <v>11</v>
      </c>
      <c r="D30">
        <v>7</v>
      </c>
      <c r="E30">
        <v>7</v>
      </c>
      <c r="F30">
        <f t="shared" si="2"/>
        <v>49</v>
      </c>
      <c r="G30">
        <v>960</v>
      </c>
      <c r="H30">
        <v>160</v>
      </c>
      <c r="I30">
        <f t="shared" si="0"/>
        <v>7526400</v>
      </c>
      <c r="J30">
        <f t="shared" si="1"/>
        <v>2</v>
      </c>
      <c r="K30">
        <f>표1_5[[#This Row],[MAC 수]]*표1_5[[#This Row],[Repeat]]</f>
        <v>15052800</v>
      </c>
      <c r="L30">
        <v>49</v>
      </c>
      <c r="M30">
        <v>960</v>
      </c>
      <c r="N30">
        <v>120</v>
      </c>
      <c r="O30">
        <f t="shared" si="3"/>
        <v>3200000000</v>
      </c>
      <c r="P30">
        <f>표1_5[[#This Row],[tile_S]]*CEILING((표1_5[[#This Row],[tile_IC]]/8),1)</f>
        <v>5880</v>
      </c>
      <c r="Q30">
        <f>표1_5[[#This Row],[tile_S]]*CEILING(표1_5[[#This Row],[tile_OC]]/4,1)</f>
        <v>1470</v>
      </c>
      <c r="R30">
        <f>표1_5[[#This Row],[tile_IC]]*CEILING((표1_5[[#This Row],[tile_OC]]/4),1)</f>
        <v>28800</v>
      </c>
      <c r="S30">
        <v>0.104376</v>
      </c>
      <c r="T30">
        <f>표1_5[[#This Row],[MAC 수]]/표1_5[[#This Row],[CPU reference time(s)]]</f>
        <v>72108530.696711883</v>
      </c>
      <c r="U30">
        <v>3.6255000000000003E-2</v>
      </c>
      <c r="V30">
        <f>표1_5[[#This Row],[MAC 수]]/표1_5[[#This Row],[FPGA End-to-End time(s)]]</f>
        <v>207596193.62846503</v>
      </c>
      <c r="W30">
        <v>3.0240000000000002E-3</v>
      </c>
      <c r="X30">
        <f>표1_5[[#This Row],[MAC 수]]/표1_5[[#This Row],[Pure HW compute time(s)]]</f>
        <v>2488888888.8888888</v>
      </c>
      <c r="Y30">
        <v>6.8770000000000003E-3</v>
      </c>
      <c r="Z30">
        <f>표1_5[[#This Row],[MAC 수]]/표1_5[[#This Row],[Kernel Time (s)]]</f>
        <v>1094430711.0658717</v>
      </c>
      <c r="AA30">
        <f>표1_5[[#This Row],[FPGA Pure Compute Throughput]]/표1_5[[#This Row],[Theoretical Peak MAC/s]]*100</f>
        <v>77.777777777777786</v>
      </c>
      <c r="AB30">
        <v>1.0370000000000001E-2</v>
      </c>
      <c r="AC30">
        <v>1.4917E-2</v>
      </c>
      <c r="AD30">
        <f>표1_5[[#This Row],[Kernel Time (s)]]+표1_5[[#This Row],[Input DMA time (s)]]+표1_5[[#This Row],[Weight DMA time (s)]]-표1_5[[#This Row],[Pure HW compute time(s)]]</f>
        <v>2.9139999999999999E-2</v>
      </c>
      <c r="AE30">
        <f>표1_5[[#This Row],[FPGA End-to-End time(s)]]-(표1_5[[#This Row],[Kernel Time (s)]]+표1_5[[#This Row],[Input DMA time (s)]]+표1_5[[#This Row],[Weight DMA time (s)]])</f>
        <v>4.0910000000000044E-3</v>
      </c>
      <c r="AF30">
        <f>표1_5[[#This Row],[Input DMA time (s)]]/표1_5[[#This Row],[FPGA End-to-End time(s)]]*100</f>
        <v>28.602951317059716</v>
      </c>
      <c r="AG30">
        <f>표1_5[[#This Row],[Weight DMA time (s)]]/표1_5[[#This Row],[FPGA End-to-End time(s)]]*100</f>
        <v>41.14466970073093</v>
      </c>
      <c r="AH30">
        <f>표1_5[[#This Row],[Input DMA 비율 (%)]]+표1_5[[#This Row],[Weight DMA 비율 (%)]]</f>
        <v>69.747621017790649</v>
      </c>
      <c r="AI30">
        <f>(표1_5[[#This Row],[Input DMA time (s)]]+표1_5[[#This Row],[Weight DMA time (s)]]+표1_5[[#This Row],[Kernel Time (s)]]-표1_5[[#This Row],[Pure HW compute time(s)]])/표1_5[[#This Row],[FPGA End-to-End time(s)]]*100</f>
        <v>80.375120673010613</v>
      </c>
      <c r="AJ30">
        <f>표1_5[[#This Row],[Host Overhead Time (s)]]/표1_5[[#This Row],[FPGA End-to-End time(s)]]*100</f>
        <v>11.283960832988564</v>
      </c>
      <c r="AK30">
        <f>표1_5[[#This Row],[Pure HW compute time(s)]]/표1_5[[#This Row],[Kernel Time (s)]]*100</f>
        <v>43.972662498182345</v>
      </c>
      <c r="AL30">
        <f>표1_5[[#This Row],[CPU reference time(s)]]/표1_5[[#This Row],[FPGA End-to-End time(s)]]</f>
        <v>2.8789408357467932</v>
      </c>
      <c r="AM30">
        <f>표1_5[[#This Row],[CPU reference time(s)]]/표1_5[[#This Row],[Pure HW compute time(s)]]</f>
        <v>34.515873015873012</v>
      </c>
      <c r="AN30">
        <f>(4*(표1_5[[#This Row],[S]]*표1_5[[#This Row],[IC]])+4*(표1_5[[#This Row],[IC]]*표1_5[[#This Row],[OC]])+4*(표1_5[[#This Row],[S]]*표1_5[[#This Row],[OC]]))</f>
        <v>833920</v>
      </c>
      <c r="AO30">
        <f>표1_5[[#This Row],[MAC 수]]/표1_5[[#This Row],[Memory Traffic]]</f>
        <v>9.0253261703760561</v>
      </c>
    </row>
    <row r="31" spans="1:41">
      <c r="A31" s="1"/>
      <c r="B31">
        <v>30</v>
      </c>
      <c r="C31" s="2" t="s">
        <v>13</v>
      </c>
      <c r="D31">
        <v>7</v>
      </c>
      <c r="E31">
        <v>7</v>
      </c>
      <c r="F31">
        <f t="shared" si="2"/>
        <v>49</v>
      </c>
      <c r="G31">
        <v>160</v>
      </c>
      <c r="H31">
        <v>960</v>
      </c>
      <c r="I31">
        <f t="shared" si="0"/>
        <v>7526400</v>
      </c>
      <c r="J31">
        <f t="shared" si="1"/>
        <v>2</v>
      </c>
      <c r="K31">
        <f>표1_5[[#This Row],[MAC 수]]*표1_5[[#This Row],[Repeat]]</f>
        <v>15052800</v>
      </c>
      <c r="L31">
        <v>49</v>
      </c>
      <c r="M31">
        <v>160</v>
      </c>
      <c r="N31">
        <v>640</v>
      </c>
      <c r="O31">
        <f t="shared" si="3"/>
        <v>3200000000</v>
      </c>
      <c r="P31">
        <f>표1_5[[#This Row],[tile_S]]*CEILING((표1_5[[#This Row],[tile_IC]]/8),1)</f>
        <v>980</v>
      </c>
      <c r="Q31">
        <f>표1_5[[#This Row],[tile_S]]*CEILING(표1_5[[#This Row],[tile_OC]]/4,1)</f>
        <v>7840</v>
      </c>
      <c r="R31">
        <f>표1_5[[#This Row],[tile_IC]]*CEILING((표1_5[[#This Row],[tile_OC]]/4),1)</f>
        <v>25600</v>
      </c>
      <c r="S31">
        <v>6.6850000000000007E-2</v>
      </c>
      <c r="T31">
        <f>표1_5[[#This Row],[MAC 수]]/표1_5[[#This Row],[CPU reference time(s)]]</f>
        <v>112586387.43455496</v>
      </c>
      <c r="U31">
        <v>3.7266000000000001E-2</v>
      </c>
      <c r="V31">
        <f>표1_5[[#This Row],[MAC 수]]/표1_5[[#This Row],[FPGA End-to-End time(s)]]</f>
        <v>201964256.96345195</v>
      </c>
      <c r="W31">
        <v>3.0240000000000002E-3</v>
      </c>
      <c r="X31">
        <f>표1_5[[#This Row],[MAC 수]]/표1_5[[#This Row],[Pure HW compute time(s)]]</f>
        <v>2488888888.8888888</v>
      </c>
      <c r="Y31">
        <v>9.0419999999999997E-3</v>
      </c>
      <c r="Z31">
        <f>표1_5[[#This Row],[MAC 수]]/표1_5[[#This Row],[Kernel Time (s)]]</f>
        <v>832382216.32382214</v>
      </c>
      <c r="AA31">
        <f>표1_5[[#This Row],[FPGA Pure Compute Throughput]]/표1_5[[#This Row],[Theoretical Peak MAC/s]]*100</f>
        <v>77.777777777777786</v>
      </c>
      <c r="AB31">
        <v>4.6010000000000001E-3</v>
      </c>
      <c r="AC31">
        <v>1.4015E-2</v>
      </c>
      <c r="AD31">
        <f>표1_5[[#This Row],[Kernel Time (s)]]+표1_5[[#This Row],[Input DMA time (s)]]+표1_5[[#This Row],[Weight DMA time (s)]]-표1_5[[#This Row],[Pure HW compute time(s)]]</f>
        <v>2.4634E-2</v>
      </c>
      <c r="AE31">
        <f>표1_5[[#This Row],[FPGA End-to-End time(s)]]-(표1_5[[#This Row],[Kernel Time (s)]]+표1_5[[#This Row],[Input DMA time (s)]]+표1_5[[#This Row],[Weight DMA time (s)]])</f>
        <v>9.608000000000002E-3</v>
      </c>
      <c r="AF31">
        <f>표1_5[[#This Row],[Input DMA time (s)]]/표1_5[[#This Row],[FPGA End-to-End time(s)]]*100</f>
        <v>12.346374711533301</v>
      </c>
      <c r="AG31">
        <f>표1_5[[#This Row],[Weight DMA time (s)]]/표1_5[[#This Row],[FPGA End-to-End time(s)]]*100</f>
        <v>37.608007298878334</v>
      </c>
      <c r="AH31">
        <f>표1_5[[#This Row],[Input DMA 비율 (%)]]+표1_5[[#This Row],[Weight DMA 비율 (%)]]</f>
        <v>49.954382010411635</v>
      </c>
      <c r="AI31">
        <f>(표1_5[[#This Row],[Input DMA time (s)]]+표1_5[[#This Row],[Weight DMA time (s)]]+표1_5[[#This Row],[Kernel Time (s)]]-표1_5[[#This Row],[Pure HW compute time(s)]])/표1_5[[#This Row],[FPGA End-to-End time(s)]]*100</f>
        <v>66.103150324692763</v>
      </c>
      <c r="AJ31">
        <f>표1_5[[#This Row],[Host Overhead Time (s)]]/표1_5[[#This Row],[FPGA End-to-End time(s)]]*100</f>
        <v>25.78221435088285</v>
      </c>
      <c r="AK31">
        <f>표1_5[[#This Row],[Pure HW compute time(s)]]/표1_5[[#This Row],[Kernel Time (s)]]*100</f>
        <v>33.443928334439285</v>
      </c>
      <c r="AL31">
        <f>표1_5[[#This Row],[CPU reference time(s)]]/표1_5[[#This Row],[FPGA End-to-End time(s)]]</f>
        <v>1.7938603552836367</v>
      </c>
      <c r="AM31">
        <f>표1_5[[#This Row],[CPU reference time(s)]]/표1_5[[#This Row],[Pure HW compute time(s)]]</f>
        <v>22.106481481481481</v>
      </c>
      <c r="AN31">
        <f>(4*(표1_5[[#This Row],[S]]*표1_5[[#This Row],[IC]])+4*(표1_5[[#This Row],[IC]]*표1_5[[#This Row],[OC]])+4*(표1_5[[#This Row],[S]]*표1_5[[#This Row],[OC]]))</f>
        <v>833920</v>
      </c>
      <c r="AO31">
        <f>표1_5[[#This Row],[MAC 수]]/표1_5[[#This Row],[Memory Traffic]]</f>
        <v>9.0253261703760561</v>
      </c>
    </row>
    <row r="32" spans="1:41">
      <c r="A32" s="1"/>
      <c r="B32">
        <v>31</v>
      </c>
      <c r="C32" s="2" t="s">
        <v>11</v>
      </c>
      <c r="D32">
        <v>7</v>
      </c>
      <c r="E32">
        <v>7</v>
      </c>
      <c r="F32">
        <f t="shared" si="2"/>
        <v>49</v>
      </c>
      <c r="G32">
        <v>960</v>
      </c>
      <c r="H32">
        <v>160</v>
      </c>
      <c r="I32">
        <f t="shared" si="0"/>
        <v>7526400</v>
      </c>
      <c r="J32">
        <f t="shared" si="1"/>
        <v>2</v>
      </c>
      <c r="K32">
        <f>표1_5[[#This Row],[MAC 수]]*표1_5[[#This Row],[Repeat]]</f>
        <v>15052800</v>
      </c>
      <c r="L32">
        <v>49</v>
      </c>
      <c r="M32">
        <v>960</v>
      </c>
      <c r="N32">
        <v>120</v>
      </c>
      <c r="O32">
        <f t="shared" si="3"/>
        <v>3200000000</v>
      </c>
      <c r="P32">
        <f>표1_5[[#This Row],[tile_S]]*CEILING((표1_5[[#This Row],[tile_IC]]/8),1)</f>
        <v>5880</v>
      </c>
      <c r="Q32">
        <f>표1_5[[#This Row],[tile_S]]*CEILING(표1_5[[#This Row],[tile_OC]]/4,1)</f>
        <v>1470</v>
      </c>
      <c r="R32">
        <f>표1_5[[#This Row],[tile_IC]]*CEILING((표1_5[[#This Row],[tile_OC]]/4),1)</f>
        <v>28800</v>
      </c>
      <c r="S32">
        <v>0.101642</v>
      </c>
      <c r="T32">
        <f>표1_5[[#This Row],[MAC 수]]/표1_5[[#This Row],[CPU reference time(s)]]</f>
        <v>74048129.710159183</v>
      </c>
      <c r="U32">
        <v>3.6658000000000003E-2</v>
      </c>
      <c r="V32">
        <f>표1_5[[#This Row],[MAC 수]]/표1_5[[#This Row],[FPGA End-to-End time(s)]]</f>
        <v>205313983.30514485</v>
      </c>
      <c r="W32">
        <v>3.0240000000000002E-3</v>
      </c>
      <c r="X32">
        <f>표1_5[[#This Row],[MAC 수]]/표1_5[[#This Row],[Pure HW compute time(s)]]</f>
        <v>2488888888.8888888</v>
      </c>
      <c r="Y32">
        <v>6.9439999999999997E-3</v>
      </c>
      <c r="Z32">
        <f>표1_5[[#This Row],[MAC 수]]/표1_5[[#This Row],[Kernel Time (s)]]</f>
        <v>1083870967.7419355</v>
      </c>
      <c r="AA32">
        <f>표1_5[[#This Row],[FPGA Pure Compute Throughput]]/표1_5[[#This Row],[Theoretical Peak MAC/s]]*100</f>
        <v>77.777777777777786</v>
      </c>
      <c r="AB32">
        <v>1.0177E-2</v>
      </c>
      <c r="AC32">
        <v>1.5376000000000001E-2</v>
      </c>
      <c r="AD32">
        <f>표1_5[[#This Row],[Kernel Time (s)]]+표1_5[[#This Row],[Input DMA time (s)]]+표1_5[[#This Row],[Weight DMA time (s)]]-표1_5[[#This Row],[Pure HW compute time(s)]]</f>
        <v>2.9472999999999999E-2</v>
      </c>
      <c r="AE32">
        <f>표1_5[[#This Row],[FPGA End-to-End time(s)]]-(표1_5[[#This Row],[Kernel Time (s)]]+표1_5[[#This Row],[Input DMA time (s)]]+표1_5[[#This Row],[Weight DMA time (s)]])</f>
        <v>4.161000000000005E-3</v>
      </c>
      <c r="AF32">
        <f>표1_5[[#This Row],[Input DMA time (s)]]/표1_5[[#This Row],[FPGA End-to-End time(s)]]*100</f>
        <v>27.762016476621749</v>
      </c>
      <c r="AG32">
        <f>표1_5[[#This Row],[Weight DMA time (s)]]/표1_5[[#This Row],[FPGA End-to-End time(s)]]*100</f>
        <v>41.944459599541709</v>
      </c>
      <c r="AH32">
        <f>표1_5[[#This Row],[Input DMA 비율 (%)]]+표1_5[[#This Row],[Weight DMA 비율 (%)]]</f>
        <v>69.706476076163455</v>
      </c>
      <c r="AI32">
        <f>(표1_5[[#This Row],[Input DMA time (s)]]+표1_5[[#This Row],[Weight DMA time (s)]]+표1_5[[#This Row],[Kernel Time (s)]]-표1_5[[#This Row],[Pure HW compute time(s)]])/표1_5[[#This Row],[FPGA End-to-End time(s)]]*100</f>
        <v>80.399912706639739</v>
      </c>
      <c r="AJ32">
        <f>표1_5[[#This Row],[Host Overhead Time (s)]]/표1_5[[#This Row],[FPGA End-to-End time(s)]]*100</f>
        <v>11.350864749849977</v>
      </c>
      <c r="AK32">
        <f>표1_5[[#This Row],[Pure HW compute time(s)]]/표1_5[[#This Row],[Kernel Time (s)]]*100</f>
        <v>43.548387096774199</v>
      </c>
      <c r="AL32">
        <f>표1_5[[#This Row],[CPU reference time(s)]]/표1_5[[#This Row],[FPGA End-to-End time(s)]]</f>
        <v>2.772709913252223</v>
      </c>
      <c r="AM32">
        <f>표1_5[[#This Row],[CPU reference time(s)]]/표1_5[[#This Row],[Pure HW compute time(s)]]</f>
        <v>33.61177248677248</v>
      </c>
      <c r="AN32">
        <f>(4*(표1_5[[#This Row],[S]]*표1_5[[#This Row],[IC]])+4*(표1_5[[#This Row],[IC]]*표1_5[[#This Row],[OC]])+4*(표1_5[[#This Row],[S]]*표1_5[[#This Row],[OC]]))</f>
        <v>833920</v>
      </c>
      <c r="AO32">
        <f>표1_5[[#This Row],[MAC 수]]/표1_5[[#This Row],[Memory Traffic]]</f>
        <v>9.0253261703760561</v>
      </c>
    </row>
    <row r="33" spans="1:41">
      <c r="A33" s="1">
        <v>7</v>
      </c>
      <c r="B33">
        <v>32</v>
      </c>
      <c r="C33" s="2" t="s">
        <v>13</v>
      </c>
      <c r="D33">
        <v>7</v>
      </c>
      <c r="E33">
        <v>7</v>
      </c>
      <c r="F33">
        <f t="shared" si="2"/>
        <v>49</v>
      </c>
      <c r="G33">
        <v>160</v>
      </c>
      <c r="H33">
        <v>960</v>
      </c>
      <c r="I33">
        <f t="shared" si="0"/>
        <v>7526400</v>
      </c>
      <c r="J33">
        <f t="shared" si="1"/>
        <v>2</v>
      </c>
      <c r="K33">
        <f>표1_5[[#This Row],[MAC 수]]*표1_5[[#This Row],[Repeat]]</f>
        <v>15052800</v>
      </c>
      <c r="L33">
        <v>49</v>
      </c>
      <c r="M33">
        <v>160</v>
      </c>
      <c r="N33">
        <v>640</v>
      </c>
      <c r="O33">
        <f t="shared" si="3"/>
        <v>3200000000</v>
      </c>
      <c r="P33">
        <f>표1_5[[#This Row],[tile_S]]*CEILING((표1_5[[#This Row],[tile_IC]]/8),1)</f>
        <v>980</v>
      </c>
      <c r="Q33">
        <f>표1_5[[#This Row],[tile_S]]*CEILING(표1_5[[#This Row],[tile_OC]]/4,1)</f>
        <v>7840</v>
      </c>
      <c r="R33">
        <f>표1_5[[#This Row],[tile_IC]]*CEILING((표1_5[[#This Row],[tile_OC]]/4),1)</f>
        <v>25600</v>
      </c>
      <c r="S33">
        <v>6.6956000000000002E-2</v>
      </c>
      <c r="T33">
        <f>표1_5[[#This Row],[MAC 수]]/표1_5[[#This Row],[CPU reference time(s)]]</f>
        <v>112408148.63492443</v>
      </c>
      <c r="U33">
        <v>3.7339999999999998E-2</v>
      </c>
      <c r="V33">
        <f>표1_5[[#This Row],[MAC 수]]/표1_5[[#This Row],[FPGA End-to-End time(s)]]</f>
        <v>201564006.42742369</v>
      </c>
      <c r="W33">
        <v>3.0240000000000002E-3</v>
      </c>
      <c r="X33">
        <f>표1_5[[#This Row],[MAC 수]]/표1_5[[#This Row],[Pure HW compute time(s)]]</f>
        <v>2488888888.8888888</v>
      </c>
      <c r="Y33">
        <v>8.9650000000000007E-3</v>
      </c>
      <c r="Z33">
        <f>표1_5[[#This Row],[MAC 수]]/표1_5[[#This Row],[Kernel Time (s)]]</f>
        <v>839531511.43335187</v>
      </c>
      <c r="AA33">
        <f>표1_5[[#This Row],[FPGA Pure Compute Throughput]]/표1_5[[#This Row],[Theoretical Peak MAC/s]]*100</f>
        <v>77.777777777777786</v>
      </c>
      <c r="AB33">
        <v>5.1739999999999998E-3</v>
      </c>
      <c r="AC33">
        <v>1.4026E-2</v>
      </c>
      <c r="AD33">
        <f>표1_5[[#This Row],[Kernel Time (s)]]+표1_5[[#This Row],[Input DMA time (s)]]+표1_5[[#This Row],[Weight DMA time (s)]]-표1_5[[#This Row],[Pure HW compute time(s)]]</f>
        <v>2.5141000000000004E-2</v>
      </c>
      <c r="AE33">
        <f>표1_5[[#This Row],[FPGA End-to-End time(s)]]-(표1_5[[#This Row],[Kernel Time (s)]]+표1_5[[#This Row],[Input DMA time (s)]]+표1_5[[#This Row],[Weight DMA time (s)]])</f>
        <v>9.1749999999999957E-3</v>
      </c>
      <c r="AF33">
        <f>표1_5[[#This Row],[Input DMA time (s)]]/표1_5[[#This Row],[FPGA End-to-End time(s)]]*100</f>
        <v>13.856454204606319</v>
      </c>
      <c r="AG33">
        <f>표1_5[[#This Row],[Weight DMA time (s)]]/표1_5[[#This Row],[FPGA End-to-End time(s)]]*100</f>
        <v>37.562935190144621</v>
      </c>
      <c r="AH33">
        <f>표1_5[[#This Row],[Input DMA 비율 (%)]]+표1_5[[#This Row],[Weight DMA 비율 (%)]]</f>
        <v>51.419389394750937</v>
      </c>
      <c r="AI33">
        <f>(표1_5[[#This Row],[Input DMA time (s)]]+표1_5[[#This Row],[Weight DMA time (s)]]+표1_5[[#This Row],[Kernel Time (s)]]-표1_5[[#This Row],[Pure HW compute time(s)]])/표1_5[[#This Row],[FPGA End-to-End time(s)]]*100</f>
        <v>67.329941081949656</v>
      </c>
      <c r="AJ33">
        <f>표1_5[[#This Row],[Host Overhead Time (s)]]/표1_5[[#This Row],[FPGA End-to-End time(s)]]*100</f>
        <v>24.571505088377066</v>
      </c>
      <c r="AK33">
        <f>표1_5[[#This Row],[Pure HW compute time(s)]]/표1_5[[#This Row],[Kernel Time (s)]]*100</f>
        <v>33.731176798661458</v>
      </c>
      <c r="AL33">
        <f>표1_5[[#This Row],[CPU reference time(s)]]/표1_5[[#This Row],[FPGA End-to-End time(s)]]</f>
        <v>1.7931440814140334</v>
      </c>
      <c r="AM33">
        <f>표1_5[[#This Row],[CPU reference time(s)]]/표1_5[[#This Row],[Pure HW compute time(s)]]</f>
        <v>22.141534391534389</v>
      </c>
      <c r="AN33">
        <f>(4*(표1_5[[#This Row],[S]]*표1_5[[#This Row],[IC]])+4*(표1_5[[#This Row],[IC]]*표1_5[[#This Row],[OC]])+4*(표1_5[[#This Row],[S]]*표1_5[[#This Row],[OC]]))</f>
        <v>833920</v>
      </c>
      <c r="AO33">
        <f>표1_5[[#This Row],[MAC 수]]/표1_5[[#This Row],[Memory Traffic]]</f>
        <v>9.0253261703760561</v>
      </c>
    </row>
    <row r="34" spans="1:41">
      <c r="A34" s="1"/>
      <c r="B34">
        <v>33</v>
      </c>
      <c r="C34" s="2" t="s">
        <v>11</v>
      </c>
      <c r="D34">
        <v>7</v>
      </c>
      <c r="E34">
        <v>7</v>
      </c>
      <c r="F34">
        <f t="shared" si="2"/>
        <v>49</v>
      </c>
      <c r="G34">
        <v>960</v>
      </c>
      <c r="H34">
        <v>320</v>
      </c>
      <c r="I34">
        <f t="shared" si="0"/>
        <v>15052800</v>
      </c>
      <c r="J34">
        <f t="shared" si="1"/>
        <v>3</v>
      </c>
      <c r="K34">
        <f>표1_5[[#This Row],[MAC 수]]*표1_5[[#This Row],[Repeat]]</f>
        <v>45158400</v>
      </c>
      <c r="L34">
        <v>49</v>
      </c>
      <c r="M34">
        <v>960</v>
      </c>
      <c r="N34">
        <v>120</v>
      </c>
      <c r="O34">
        <f t="shared" si="3"/>
        <v>3200000000</v>
      </c>
      <c r="P34">
        <f>표1_5[[#This Row],[tile_S]]*CEILING((표1_5[[#This Row],[tile_IC]]/8),1)</f>
        <v>5880</v>
      </c>
      <c r="Q34">
        <f>표1_5[[#This Row],[tile_S]]*CEILING(표1_5[[#This Row],[tile_OC]]/4,1)</f>
        <v>1470</v>
      </c>
      <c r="R34">
        <f>표1_5[[#This Row],[tile_IC]]*CEILING((표1_5[[#This Row],[tile_OC]]/4),1)</f>
        <v>28800</v>
      </c>
      <c r="S34">
        <v>0.201769</v>
      </c>
      <c r="T34">
        <f>표1_5[[#This Row],[MAC 수]]/표1_5[[#This Row],[CPU reference time(s)]]</f>
        <v>74604126.501097783</v>
      </c>
      <c r="U34">
        <v>6.0511000000000002E-2</v>
      </c>
      <c r="V34">
        <f>표1_5[[#This Row],[MAC 수]]/표1_5[[#This Row],[FPGA End-to-End time(s)]]</f>
        <v>248761382.22802466</v>
      </c>
      <c r="W34">
        <v>6.0480000000000004E-3</v>
      </c>
      <c r="X34">
        <f>표1_5[[#This Row],[MAC 수]]/표1_5[[#This Row],[Pure HW compute time(s)]]</f>
        <v>2488888888.8888888</v>
      </c>
      <c r="Y34">
        <v>1.2225E-2</v>
      </c>
      <c r="Z34">
        <f>표1_5[[#This Row],[MAC 수]]/표1_5[[#This Row],[Kernel Time (s)]]</f>
        <v>1231312883.4355829</v>
      </c>
      <c r="AA34">
        <f>표1_5[[#This Row],[FPGA Pure Compute Throughput]]/표1_5[[#This Row],[Theoretical Peak MAC/s]]*100</f>
        <v>77.777777777777786</v>
      </c>
      <c r="AB34">
        <v>1.4954E-2</v>
      </c>
      <c r="AC34">
        <v>2.7036999999999999E-2</v>
      </c>
      <c r="AD34">
        <f>표1_5[[#This Row],[Kernel Time (s)]]+표1_5[[#This Row],[Input DMA time (s)]]+표1_5[[#This Row],[Weight DMA time (s)]]-표1_5[[#This Row],[Pure HW compute time(s)]]</f>
        <v>4.8168000000000002E-2</v>
      </c>
      <c r="AE34">
        <f>표1_5[[#This Row],[FPGA End-to-End time(s)]]-(표1_5[[#This Row],[Kernel Time (s)]]+표1_5[[#This Row],[Input DMA time (s)]]+표1_5[[#This Row],[Weight DMA time (s)]])</f>
        <v>6.295000000000002E-3</v>
      </c>
      <c r="AF34">
        <f>표1_5[[#This Row],[Input DMA time (s)]]/표1_5[[#This Row],[FPGA End-to-End time(s)]]*100</f>
        <v>24.712862124241873</v>
      </c>
      <c r="AG34">
        <f>표1_5[[#This Row],[Weight DMA time (s)]]/표1_5[[#This Row],[FPGA End-to-End time(s)]]*100</f>
        <v>44.681132356100541</v>
      </c>
      <c r="AH34">
        <f>표1_5[[#This Row],[Input DMA 비율 (%)]]+표1_5[[#This Row],[Weight DMA 비율 (%)]]</f>
        <v>69.393994480342414</v>
      </c>
      <c r="AI34">
        <f>(표1_5[[#This Row],[Input DMA time (s)]]+표1_5[[#This Row],[Weight DMA time (s)]]+표1_5[[#This Row],[Kernel Time (s)]]-표1_5[[#This Row],[Pure HW compute time(s)]])/표1_5[[#This Row],[FPGA End-to-End time(s)]]*100</f>
        <v>79.602055824560821</v>
      </c>
      <c r="AJ34">
        <f>표1_5[[#This Row],[Host Overhead Time (s)]]/표1_5[[#This Row],[FPGA End-to-End time(s)]]*100</f>
        <v>10.403067210920332</v>
      </c>
      <c r="AK34">
        <f>표1_5[[#This Row],[Pure HW compute time(s)]]/표1_5[[#This Row],[Kernel Time (s)]]*100</f>
        <v>49.472392638036816</v>
      </c>
      <c r="AL34">
        <f>표1_5[[#This Row],[CPU reference time(s)]]/표1_5[[#This Row],[FPGA End-to-End time(s)]]</f>
        <v>3.334418535472889</v>
      </c>
      <c r="AM34">
        <f>표1_5[[#This Row],[CPU reference time(s)]]/표1_5[[#This Row],[Pure HW compute time(s)]]</f>
        <v>33.361276455026456</v>
      </c>
      <c r="AN34">
        <f>(4*(표1_5[[#This Row],[S]]*표1_5[[#This Row],[IC]])+4*(표1_5[[#This Row],[IC]]*표1_5[[#This Row],[OC]])+4*(표1_5[[#This Row],[S]]*표1_5[[#This Row],[OC]]))</f>
        <v>1479680</v>
      </c>
      <c r="AO34">
        <f>표1_5[[#This Row],[MAC 수]]/표1_5[[#This Row],[Memory Traffic]]</f>
        <v>10.173010380622838</v>
      </c>
    </row>
    <row r="35" spans="1:41">
      <c r="A35" s="1" t="s">
        <v>15</v>
      </c>
      <c r="B35">
        <v>34</v>
      </c>
      <c r="C35" s="2" t="s">
        <v>16</v>
      </c>
      <c r="D35">
        <v>7</v>
      </c>
      <c r="E35">
        <v>7</v>
      </c>
      <c r="F35">
        <f t="shared" si="2"/>
        <v>49</v>
      </c>
      <c r="G35">
        <v>320</v>
      </c>
      <c r="H35">
        <v>1280</v>
      </c>
      <c r="I35">
        <f t="shared" si="0"/>
        <v>20070400</v>
      </c>
      <c r="J35">
        <f t="shared" si="1"/>
        <v>4</v>
      </c>
      <c r="K35">
        <f>표1_5[[#This Row],[MAC 수]]*표1_5[[#This Row],[Repeat]]</f>
        <v>80281600</v>
      </c>
      <c r="L35">
        <v>49</v>
      </c>
      <c r="M35">
        <v>320</v>
      </c>
      <c r="N35">
        <v>320</v>
      </c>
      <c r="O35">
        <f t="shared" si="3"/>
        <v>3200000000</v>
      </c>
      <c r="P35">
        <f>표1_5[[#This Row],[tile_S]]*CEILING((표1_5[[#This Row],[tile_IC]]/8),1)</f>
        <v>1960</v>
      </c>
      <c r="Q35">
        <f>표1_5[[#This Row],[tile_S]]*CEILING(표1_5[[#This Row],[tile_OC]]/4,1)</f>
        <v>3920</v>
      </c>
      <c r="R35">
        <f>표1_5[[#This Row],[tile_IC]]*CEILING((표1_5[[#This Row],[tile_OC]]/4),1)</f>
        <v>25600</v>
      </c>
      <c r="S35">
        <v>0.24684900000000001</v>
      </c>
      <c r="T35">
        <f>표1_5[[#This Row],[MAC 수]]/표1_5[[#This Row],[CPU reference time(s)]]</f>
        <v>81306385.685175955</v>
      </c>
      <c r="U35">
        <v>7.9200999999999994E-2</v>
      </c>
      <c r="V35">
        <f>표1_5[[#This Row],[MAC 수]]/표1_5[[#This Row],[FPGA End-to-End time(s)]]</f>
        <v>253410941.78103814</v>
      </c>
      <c r="W35">
        <v>8.064E-3</v>
      </c>
      <c r="X35">
        <f>표1_5[[#This Row],[MAC 수]]/표1_5[[#This Row],[Pure HW compute time(s)]]</f>
        <v>2488888888.8888888</v>
      </c>
      <c r="Y35">
        <v>1.8741000000000001E-2</v>
      </c>
      <c r="Z35">
        <f>표1_5[[#This Row],[MAC 수]]/표1_5[[#This Row],[Kernel Time (s)]]</f>
        <v>1070935382.3168454</v>
      </c>
      <c r="AA35">
        <f>표1_5[[#This Row],[FPGA Pure Compute Throughput]]/표1_5[[#This Row],[Theoretical Peak MAC/s]]*100</f>
        <v>77.777777777777786</v>
      </c>
      <c r="AB35">
        <v>1.1134E-2</v>
      </c>
      <c r="AC35">
        <v>3.5222999999999997E-2</v>
      </c>
      <c r="AD35">
        <f>표1_5[[#This Row],[Kernel Time (s)]]+표1_5[[#This Row],[Input DMA time (s)]]+표1_5[[#This Row],[Weight DMA time (s)]]-표1_5[[#This Row],[Pure HW compute time(s)]]</f>
        <v>5.7033999999999987E-2</v>
      </c>
      <c r="AE35">
        <f>표1_5[[#This Row],[FPGA End-to-End time(s)]]-(표1_5[[#This Row],[Kernel Time (s)]]+표1_5[[#This Row],[Input DMA time (s)]]+표1_5[[#This Row],[Weight DMA time (s)]])</f>
        <v>1.4103000000000004E-2</v>
      </c>
      <c r="AF35">
        <f>표1_5[[#This Row],[Input DMA time (s)]]/표1_5[[#This Row],[FPGA End-to-End time(s)]]*100</f>
        <v>14.057903309301651</v>
      </c>
      <c r="AG35">
        <f>표1_5[[#This Row],[Weight DMA time (s)]]/표1_5[[#This Row],[FPGA End-to-End time(s)]]*100</f>
        <v>44.472923321675232</v>
      </c>
      <c r="AH35">
        <f>표1_5[[#This Row],[Input DMA 비율 (%)]]+표1_5[[#This Row],[Weight DMA 비율 (%)]]</f>
        <v>58.530826630976883</v>
      </c>
      <c r="AI35">
        <f>(표1_5[[#This Row],[Input DMA time (s)]]+표1_5[[#This Row],[Weight DMA time (s)]]+표1_5[[#This Row],[Kernel Time (s)]]-표1_5[[#This Row],[Pure HW compute time(s)]])/표1_5[[#This Row],[FPGA End-to-End time(s)]]*100</f>
        <v>72.011717023774949</v>
      </c>
      <c r="AJ35">
        <f>표1_5[[#This Row],[Host Overhead Time (s)]]/표1_5[[#This Row],[FPGA End-to-End time(s)]]*100</f>
        <v>17.806593351094058</v>
      </c>
      <c r="AK35">
        <f>표1_5[[#This Row],[Pure HW compute time(s)]]/표1_5[[#This Row],[Kernel Time (s)]]*100</f>
        <v>43.028653753801819</v>
      </c>
      <c r="AL35">
        <f>표1_5[[#This Row],[CPU reference time(s)]]/표1_5[[#This Row],[FPGA End-to-End time(s)]]</f>
        <v>3.1167409502405277</v>
      </c>
      <c r="AM35">
        <f>표1_5[[#This Row],[CPU reference time(s)]]/표1_5[[#This Row],[Pure HW compute time(s)]]</f>
        <v>30.61123511904762</v>
      </c>
      <c r="AN35">
        <f>(4*(표1_5[[#This Row],[S]]*표1_5[[#This Row],[IC]])+4*(표1_5[[#This Row],[IC]]*표1_5[[#This Row],[OC]])+4*(표1_5[[#This Row],[S]]*표1_5[[#This Row],[OC]]))</f>
        <v>1952000</v>
      </c>
      <c r="AO35">
        <f>표1_5[[#This Row],[MAC 수]]/표1_5[[#This Row],[Memory Traffic]]</f>
        <v>10.281967213114754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BD0B5-189D-D14E-8C32-712FD25914D5}">
  <dimension ref="A1:J2"/>
  <sheetViews>
    <sheetView workbookViewId="0">
      <selection activeCell="F2" sqref="F2"/>
    </sheetView>
  </sheetViews>
  <sheetFormatPr baseColWidth="10" defaultRowHeight="18"/>
  <cols>
    <col min="1" max="1" width="25.5703125" customWidth="1"/>
    <col min="2" max="2" width="26.85546875" customWidth="1"/>
    <col min="3" max="3" width="16.7109375" customWidth="1"/>
    <col min="4" max="4" width="16" customWidth="1"/>
    <col min="5" max="5" width="11.85546875" customWidth="1"/>
    <col min="6" max="6" width="25.85546875" customWidth="1"/>
    <col min="7" max="7" width="20.5703125" customWidth="1"/>
    <col min="8" max="8" width="32.140625" customWidth="1"/>
    <col min="9" max="9" width="22" customWidth="1"/>
    <col min="10" max="10" width="26.5703125" customWidth="1"/>
  </cols>
  <sheetData>
    <row r="1" spans="1:10">
      <c r="A1" t="s">
        <v>43</v>
      </c>
      <c r="B1" t="s">
        <v>44</v>
      </c>
      <c r="C1" t="s">
        <v>54</v>
      </c>
      <c r="D1" t="s">
        <v>53</v>
      </c>
      <c r="E1" t="s">
        <v>47</v>
      </c>
      <c r="F1" t="s">
        <v>65</v>
      </c>
      <c r="G1" t="s">
        <v>63</v>
      </c>
      <c r="H1" t="s">
        <v>66</v>
      </c>
      <c r="I1" t="s">
        <v>67</v>
      </c>
      <c r="J1" t="s">
        <v>64</v>
      </c>
    </row>
    <row r="2" spans="1:10">
      <c r="A2">
        <f>SUM(표1_5[CPU reference time(s)])/SUM(표1_5[FPGA End-to-End time(s)])</f>
        <v>1.7190478364448842</v>
      </c>
      <c r="B2">
        <f>SUM(표1_5[CPU reference time(s)])/SUM(표1_5[Pure HW compute time(s)])</f>
        <v>36.907421850298256</v>
      </c>
      <c r="C2">
        <f>SUM(표1_5[MAC 수])/(표1_5[[#This Row],[Theoretical Peak MAC/s]]*SUM(표1_5[Pure HW compute time(s)]))*100</f>
        <v>88.247718218418669</v>
      </c>
      <c r="D2">
        <f>MAX(표1_5[Utilization (%)])</f>
        <v>99.555555555555557</v>
      </c>
      <c r="E2">
        <f>SUM(표1_5[MAC 수])/SUM(표1_5[Memory Traffic])</f>
        <v>7.4645898412426721</v>
      </c>
      <c r="F2">
        <f>표1_5[[#This Row],[Theoretical Peak MAC/s]]/(SUM(표1_5[Memory Traffic])/SUM(표1_5[Memory Overhead Time (s)]))</f>
        <v>106.43338040423924</v>
      </c>
      <c r="G2">
        <f>(SUM(표1_5[Memory Traffic])/SUM(표1_5[Memory Overhead Time (s)]))</f>
        <v>30065755.572605528</v>
      </c>
      <c r="H2">
        <f>(16)*(533*10^6)*(2)/8</f>
        <v>2132000000</v>
      </c>
      <c r="I2">
        <f>표6[[#This Row],[Measured Bandwidth]]/표6[[#This Row],[Theoretical Bandwidth (DDR 기반)]]*100</f>
        <v>1.4102136760133925</v>
      </c>
      <c r="J2">
        <f>표1_5[[#This Row],[Theoretical Peak MAC/s]]/표6[[#This Row],[Theoretical Bandwidth (DDR 기반)]]</f>
        <v>1.5009380863039399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8D011-0A52-064D-B9F8-4EA7CC2C79B4}">
  <dimension ref="A1:I4"/>
  <sheetViews>
    <sheetView workbookViewId="0">
      <selection activeCell="E4" sqref="E4"/>
    </sheetView>
  </sheetViews>
  <sheetFormatPr baseColWidth="10" defaultRowHeight="18"/>
  <cols>
    <col min="2" max="2" width="14.42578125" customWidth="1"/>
    <col min="3" max="3" width="14.7109375" customWidth="1"/>
    <col min="4" max="5" width="26" customWidth="1"/>
    <col min="6" max="6" width="20.85546875" customWidth="1"/>
    <col min="7" max="7" width="22.42578125" customWidth="1"/>
    <col min="8" max="8" width="18.5703125" customWidth="1"/>
    <col min="9" max="9" width="23" customWidth="1"/>
  </cols>
  <sheetData>
    <row r="1" spans="1:9">
      <c r="A1" t="s">
        <v>45</v>
      </c>
      <c r="B1" t="s">
        <v>46</v>
      </c>
      <c r="C1" t="s">
        <v>51</v>
      </c>
      <c r="D1" t="s">
        <v>50</v>
      </c>
      <c r="E1" t="s">
        <v>55</v>
      </c>
      <c r="F1" t="s">
        <v>62</v>
      </c>
      <c r="G1" t="s">
        <v>52</v>
      </c>
      <c r="H1" t="s">
        <v>59</v>
      </c>
      <c r="I1" t="s">
        <v>60</v>
      </c>
    </row>
    <row r="2" spans="1:9">
      <c r="A2" t="s">
        <v>14</v>
      </c>
      <c r="B2">
        <f>SUMIF(표1_5[종류], "Expand PW", 표1_5[CPU reference time(s)]) / SUMIF(표1_5[종류], "Expand PW", 표1_5[FPGA End-to-End time(s)])</f>
        <v>1.2010029954220911</v>
      </c>
      <c r="C2">
        <f>SUMIF(표1_5[종류], "Expand PW", 표1_5[MAC 수])/(SUMIF(표1_5[종류], "Expand PW", 표1_5[Pure HW compute time(s)])*표1_5[[#This Row],[Theoretical Peak MAC/s]]) *100</f>
        <v>89.115579877365349</v>
      </c>
      <c r="D2">
        <f>SUMIF(표1_5[종류], "Expand PW", 표1_5[Memory Overhead Time (s)])/SUMIF(표1_5[종류], "Expand PW", 표1_5[FPGA End-to-End time(s)]) *100</f>
        <v>51.551930069139615</v>
      </c>
      <c r="E2">
        <f>SUMIF(표1_5[종류],"Expand PW",표1_5[Host Overhead Time (s)])/SUMIF(표1_5[종류],"Expand PW",표1_5[FPGA End-to-End time(s)])*100</f>
        <v>45.0192724326972</v>
      </c>
      <c r="F2">
        <f>SUMIF(표1_5[종류], "Expand PW", 표1_5[Pure HW compute time(s)])/SUMIF(표1_5[종류], "Expand PW", 표1_5[FPGA End-to-End time(s)]) *100</f>
        <v>3.4287974981631844</v>
      </c>
      <c r="G2">
        <f>SUMIF(표1_5[종류], "Expand PW", 표1_5[MAC 수])/SUMIF(표1_5[종류], "Expand PW", 표1_5[Memory Traffic])</f>
        <v>6.9785558408657522</v>
      </c>
      <c r="H2">
        <f>SUMIF(표1_5[종류], "Expand PW",표1_5[Memory Traffic])/SUMIF(표1_5[종류],"Expand PW",표1_5[MAC 수])</f>
        <v>0.1432961235538299</v>
      </c>
      <c r="I2">
        <f>SUMIF(표1_5[종류],"Expand PW",표1_5[Repeat_x_MAC])/SUMIF(표1_5[종류],"Expand PW",표1_5[MAC 수])</f>
        <v>5.935034802784223</v>
      </c>
    </row>
    <row r="3" spans="1:9">
      <c r="A3" t="s">
        <v>12</v>
      </c>
      <c r="B3">
        <f>SUMIF(표1_5[종류], "Project PW", 표1_5[CPU reference time(s)]) / SUMIF(표1_5[종류], "Project PW", 표1_5[FPGA End-to-End time(s)])</f>
        <v>2.6332900591413964</v>
      </c>
      <c r="C3">
        <f>SUMIF(표1_5[종류], "Project PW", 표1_5[MAC 수])/(SUMIF(표1_5[종류], "Project PW", 표1_5[Pure HW compute time(s)])*표1_5[[#This Row],[Theoretical Peak MAC/s]])*100</f>
        <v>89.335430936418419</v>
      </c>
      <c r="D3">
        <f>SUMIF(표1_5[종류], "Project PW", 표1_5[Memory Overhead Time (s)])/SUMIF(표1_5[종류], "Project PW", 표1_5[FPGA End-to-End time(s)]) *100</f>
        <v>71.764620098563725</v>
      </c>
      <c r="E3">
        <f>SUMIF(표1_5[종류],"Project PW",표1_5[Host Overhead Time (s)])/SUMIF(표1_5[종류],"Project PW",표1_5[FPGA End-to-End time(s)])*100</f>
        <v>21.686076647629193</v>
      </c>
      <c r="F3">
        <f>SUMIF(표1_5[종류], "Project PW", 표1_5[Pure HW compute time(s)])/SUMIF(표1_5[종류], "Project PW", 표1_5[FPGA End-to-End time(s)]) *100</f>
        <v>6.5493032538070999</v>
      </c>
      <c r="G3">
        <f>SUMIF(표1_5[종류], "Project PW", 표1_5[MAC 수])/SUMIF(표1_5[종류], "Project PW", 표1_5[Memory Traffic])</f>
        <v>7.6950557468916001</v>
      </c>
      <c r="H3">
        <f>SUMIF(표1_5[종류], "Project PW",표1_5[Memory Traffic])/SUMIF(표1_5[종류],"Project PW",표1_5[MAC 수])</f>
        <v>0.12995357446292025</v>
      </c>
      <c r="I3">
        <f>SUMIF(표1_5[종류],"Project PW",표1_5[Repeat_x_MAC])/SUMIF(표1_5[종류],"Project PW",표1_5[MAC 수])</f>
        <v>1.7595581988105353</v>
      </c>
    </row>
    <row r="4" spans="1:9">
      <c r="A4" t="s">
        <v>16</v>
      </c>
      <c r="B4">
        <f>SUMIF(표1_5[종류], "Final PW", 표1_5[CPU reference time(s)]) / SUMIF(표1_5[종류], "Final PW", 표1_5[FPGA End-to-End time(s)])</f>
        <v>3.1167409502405277</v>
      </c>
      <c r="C4">
        <f>SUMIF(표1_5[종류], "Final PW", 표1_5[MAC 수])/(SUMIF(표1_5[종류], "Final PW", 표1_5[Pure HW compute time(s)])*표1_5[[#This Row],[Theoretical Peak MAC/s]])*100</f>
        <v>77.777777777777786</v>
      </c>
      <c r="D4">
        <f>SUMIF(표1_5[종류], "Final PW", 표1_5[Memory Overhead Time (s)])/SUMIF(표1_5[종류], "Final PW", 표1_5[FPGA End-to-End time(s)]) *100</f>
        <v>72.011717023774949</v>
      </c>
      <c r="E4">
        <f>SUMIF(표1_5[종류],"Final PW",표1_5[Host Overhead Time (s)])/SUMIF(표1_5[종류],"Final PW",표1_5[FPGA End-to-End time(s)])*100</f>
        <v>17.806593351094058</v>
      </c>
      <c r="F4">
        <f>SUMIF(표1_5[종류], "Final PW", 표1_5[Pure HW compute time(s)])/SUMIF(표1_5[종류], "Final PW", 표1_5[FPGA End-to-End time(s)]) *100</f>
        <v>10.181689625130996</v>
      </c>
      <c r="G4">
        <f>SUMIF(표1_5[종류], "Final PW", 표1_5[MAC 수])/SUMIF(표1_5[종류], "Final PW", 표1_5[Memory Traffic])</f>
        <v>10.281967213114754</v>
      </c>
      <c r="H4">
        <f>SUMIF(표1_5[종류], "Final PW",표1_5[Memory Traffic])/SUMIF(표1_5[종류],"Final PW",표1_5[MAC 수])</f>
        <v>9.7257653061224483E-2</v>
      </c>
      <c r="I4">
        <f>SUMIF(표1_5[종류],"Final PW",표1_5[Repeat_x_MAC])/SUMIF(표1_5[종류],"Final PW",표1_5[MAC 수])</f>
        <v>4</v>
      </c>
    </row>
  </sheetData>
  <phoneticPr fontId="1" type="noConversion"/>
  <pageMargins left="0.7" right="0.7" top="0.75" bottom="0.75" header="0.3" footer="0.3"/>
  <ignoredErrors>
    <ignoredError sqref="D3:D4 F3:F4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Master Table</vt:lpstr>
      <vt:lpstr>Overall Summary Table</vt:lpstr>
      <vt:lpstr>Type Summary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민서</dc:creator>
  <cp:lastModifiedBy>김 민서</cp:lastModifiedBy>
  <dcterms:created xsi:type="dcterms:W3CDTF">2026-02-12T08:31:16Z</dcterms:created>
  <dcterms:modified xsi:type="dcterms:W3CDTF">2026-03-11T09:20:56Z</dcterms:modified>
</cp:coreProperties>
</file>