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piano/Desktop/Everything/AI/fpga-ai-accelerator-dev/analysis/excel/01_sw_accumulation/"/>
    </mc:Choice>
  </mc:AlternateContent>
  <xr:revisionPtr revIDLastSave="0" documentId="13_ncr:1_{52BFBF04-C46E-E54B-BC20-7C1FCC47E6A9}" xr6:coauthVersionLast="47" xr6:coauthVersionMax="47" xr10:uidLastSave="{00000000-0000-0000-0000-000000000000}"/>
  <bookViews>
    <workbookView xWindow="-35840" yWindow="600" windowWidth="35840" windowHeight="20620" xr2:uid="{EB7FD7C8-8743-474B-B0AC-B221FB85438A}"/>
  </bookViews>
  <sheets>
    <sheet name="Master Table" sheetId="1" r:id="rId1"/>
    <sheet name="Weighted Speed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2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2" i="1"/>
  <c r="D52" i="1"/>
  <c r="B2" i="2"/>
  <c r="A2" i="2"/>
  <c r="W13" i="1"/>
  <c r="N13" i="1"/>
  <c r="M13" i="1"/>
  <c r="L13" i="1"/>
  <c r="W12" i="1"/>
  <c r="N12" i="1"/>
  <c r="M12" i="1"/>
  <c r="L12" i="1"/>
  <c r="W11" i="1"/>
  <c r="N11" i="1"/>
  <c r="M11" i="1"/>
  <c r="L11" i="1"/>
  <c r="W10" i="1"/>
  <c r="N10" i="1"/>
  <c r="M10" i="1"/>
  <c r="L10" i="1"/>
  <c r="W9" i="1"/>
  <c r="N9" i="1"/>
  <c r="M9" i="1"/>
  <c r="L9" i="1"/>
  <c r="W8" i="1"/>
  <c r="N8" i="1"/>
  <c r="M8" i="1"/>
  <c r="L8" i="1"/>
  <c r="W7" i="1"/>
  <c r="N7" i="1"/>
  <c r="M7" i="1"/>
  <c r="L7" i="1"/>
  <c r="W3" i="1"/>
  <c r="W4" i="1"/>
  <c r="W5" i="1"/>
  <c r="W6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2" i="1"/>
  <c r="N30" i="1"/>
  <c r="N31" i="1"/>
  <c r="N32" i="1"/>
  <c r="N33" i="1"/>
  <c r="N34" i="1"/>
  <c r="N35" i="1"/>
  <c r="N2" i="1"/>
  <c r="N3" i="1"/>
  <c r="N4" i="1"/>
  <c r="N5" i="1"/>
  <c r="N6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M29" i="1"/>
  <c r="L3" i="1"/>
  <c r="L4" i="1"/>
  <c r="L5" i="1"/>
  <c r="L6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" i="1"/>
  <c r="M3" i="1"/>
  <c r="M4" i="1"/>
  <c r="M5" i="1"/>
  <c r="M6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0" i="1"/>
  <c r="M31" i="1"/>
  <c r="M32" i="1"/>
  <c r="M33" i="1"/>
  <c r="M34" i="1"/>
  <c r="M35" i="1"/>
  <c r="M2" i="1"/>
  <c r="F3" i="1"/>
  <c r="P3" i="1" s="1"/>
  <c r="F4" i="1"/>
  <c r="P4" i="1" s="1"/>
  <c r="F5" i="1"/>
  <c r="P5" i="1" s="1"/>
  <c r="F6" i="1"/>
  <c r="P6" i="1" s="1"/>
  <c r="F7" i="1"/>
  <c r="O7" i="1" s="1"/>
  <c r="F8" i="1"/>
  <c r="P8" i="1" s="1"/>
  <c r="F9" i="1"/>
  <c r="P9" i="1" s="1"/>
  <c r="F10" i="1"/>
  <c r="P10" i="1" s="1"/>
  <c r="F11" i="1"/>
  <c r="P11" i="1" s="1"/>
  <c r="F12" i="1"/>
  <c r="P12" i="1" s="1"/>
  <c r="F13" i="1"/>
  <c r="P13" i="1" s="1"/>
  <c r="F14" i="1"/>
  <c r="O14" i="1" s="1"/>
  <c r="F15" i="1"/>
  <c r="O15" i="1" s="1"/>
  <c r="F16" i="1"/>
  <c r="P16" i="1" s="1"/>
  <c r="F17" i="1"/>
  <c r="O17" i="1" s="1"/>
  <c r="F18" i="1"/>
  <c r="P18" i="1" s="1"/>
  <c r="F19" i="1"/>
  <c r="P19" i="1" s="1"/>
  <c r="F20" i="1"/>
  <c r="P20" i="1" s="1"/>
  <c r="F21" i="1"/>
  <c r="P21" i="1" s="1"/>
  <c r="F22" i="1"/>
  <c r="P22" i="1" s="1"/>
  <c r="F23" i="1"/>
  <c r="O23" i="1" s="1"/>
  <c r="F24" i="1"/>
  <c r="O24" i="1" s="1"/>
  <c r="F25" i="1"/>
  <c r="P25" i="1" s="1"/>
  <c r="F26" i="1"/>
  <c r="P26" i="1" s="1"/>
  <c r="F27" i="1"/>
  <c r="P27" i="1" s="1"/>
  <c r="F28" i="1"/>
  <c r="P28" i="1" s="1"/>
  <c r="F29" i="1"/>
  <c r="P29" i="1" s="1"/>
  <c r="F30" i="1"/>
  <c r="P30" i="1" s="1"/>
  <c r="F31" i="1"/>
  <c r="P31" i="1" s="1"/>
  <c r="F32" i="1"/>
  <c r="O32" i="1" s="1"/>
  <c r="F33" i="1"/>
  <c r="O33" i="1" s="1"/>
  <c r="F34" i="1"/>
  <c r="O34" i="1" s="1"/>
  <c r="F35" i="1"/>
  <c r="P35" i="1" s="1"/>
  <c r="F2" i="1"/>
  <c r="P2" i="1" s="1"/>
  <c r="O8" i="1" l="1"/>
  <c r="P7" i="1"/>
  <c r="C2" i="2"/>
  <c r="O9" i="1"/>
  <c r="O12" i="1"/>
  <c r="O10" i="1"/>
  <c r="O13" i="1"/>
  <c r="O11" i="1"/>
  <c r="O22" i="1"/>
  <c r="O6" i="1"/>
  <c r="O19" i="1"/>
  <c r="O3" i="1"/>
  <c r="O21" i="1"/>
  <c r="O5" i="1"/>
  <c r="P24" i="1"/>
  <c r="P23" i="1"/>
  <c r="O2" i="1"/>
  <c r="O35" i="1"/>
  <c r="O31" i="1"/>
  <c r="O16" i="1"/>
  <c r="P33" i="1"/>
  <c r="O30" i="1"/>
  <c r="O29" i="1"/>
  <c r="O28" i="1"/>
  <c r="O27" i="1"/>
  <c r="P34" i="1"/>
  <c r="P17" i="1"/>
  <c r="P32" i="1"/>
  <c r="P15" i="1"/>
  <c r="P14" i="1"/>
  <c r="O26" i="1"/>
  <c r="O25" i="1"/>
  <c r="O20" i="1"/>
  <c r="O4" i="1"/>
  <c r="O18" i="1"/>
</calcChain>
</file>

<file path=xl/sharedStrings.xml><?xml version="1.0" encoding="utf-8"?>
<sst xmlns="http://schemas.openxmlformats.org/spreadsheetml/2006/main" count="63" uniqueCount="34">
  <si>
    <t>Block</t>
    <phoneticPr fontId="1" type="noConversion"/>
  </si>
  <si>
    <t>#</t>
    <phoneticPr fontId="1" type="noConversion"/>
  </si>
  <si>
    <t>종류</t>
    <phoneticPr fontId="1" type="noConversion"/>
  </si>
  <si>
    <t>H</t>
    <phoneticPr fontId="1" type="noConversion"/>
  </si>
  <si>
    <t>W</t>
    <phoneticPr fontId="1" type="noConversion"/>
  </si>
  <si>
    <t>S</t>
    <phoneticPr fontId="1" type="noConversion"/>
  </si>
  <si>
    <t>IC</t>
    <phoneticPr fontId="1" type="noConversion"/>
  </si>
  <si>
    <t>OC</t>
    <phoneticPr fontId="1" type="noConversion"/>
  </si>
  <si>
    <t>tile_S</t>
    <phoneticPr fontId="1" type="noConversion"/>
  </si>
  <si>
    <t>tile_IC</t>
    <phoneticPr fontId="1" type="noConversion"/>
  </si>
  <si>
    <t>tile_OC</t>
    <phoneticPr fontId="1" type="noConversion"/>
  </si>
  <si>
    <t>Project PW</t>
  </si>
  <si>
    <t>Project PW</t>
    <phoneticPr fontId="1" type="noConversion"/>
  </si>
  <si>
    <t>Expand PW</t>
  </si>
  <si>
    <t>Expand PW</t>
    <phoneticPr fontId="1" type="noConversion"/>
  </si>
  <si>
    <t>Final</t>
    <phoneticPr fontId="1" type="noConversion"/>
  </si>
  <si>
    <t>Final PW</t>
    <phoneticPr fontId="1" type="noConversion"/>
  </si>
  <si>
    <t>Psum SRAM Depth (&lt;= 15000)</t>
    <phoneticPr fontId="1" type="noConversion"/>
  </si>
  <si>
    <t>Input SRAM Depth (&lt;=30000)</t>
    <phoneticPr fontId="1" type="noConversion"/>
  </si>
  <si>
    <t>Weight SRAM Depth (&lt;= 30000)</t>
    <phoneticPr fontId="1" type="noConversion"/>
  </si>
  <si>
    <t>Repeat</t>
    <phoneticPr fontId="1" type="noConversion"/>
  </si>
  <si>
    <t>MAC 수</t>
    <phoneticPr fontId="1" type="noConversion"/>
  </si>
  <si>
    <t>Speedup</t>
    <phoneticPr fontId="1" type="noConversion"/>
  </si>
  <si>
    <t>CPU reference time(s)</t>
    <phoneticPr fontId="1" type="noConversion"/>
  </si>
  <si>
    <t>FPGA End-to-End time(s)</t>
    <phoneticPr fontId="1" type="noConversion"/>
  </si>
  <si>
    <t>Pure HW compute time(s)</t>
    <phoneticPr fontId="1" type="noConversion"/>
  </si>
  <si>
    <t>Activation DMA time(s)</t>
    <phoneticPr fontId="1" type="noConversion"/>
  </si>
  <si>
    <t>Weight DMA time(s)</t>
    <phoneticPr fontId="1" type="noConversion"/>
  </si>
  <si>
    <t>Accumulation Time(s)</t>
    <phoneticPr fontId="1" type="noConversion"/>
  </si>
  <si>
    <t>CPU Full Time</t>
    <phoneticPr fontId="1" type="noConversion"/>
  </si>
  <si>
    <t>FPGA Full Time</t>
    <phoneticPr fontId="1" type="noConversion"/>
  </si>
  <si>
    <t>Speedup(Weighted)</t>
    <phoneticPr fontId="1" type="noConversion"/>
  </si>
  <si>
    <t>Pure Compute Speedup</t>
    <phoneticPr fontId="1" type="noConversion"/>
  </si>
  <si>
    <t>Accumulation 비율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</si>
</sst>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4B9CE-9EDA-9244-9230-283380F362F3}" name="표1" displayName="표1" ref="A1:X35" totalsRowShown="0">
  <autoFilter ref="A1:X35" xr:uid="{0F44B9CE-9EDA-9244-9230-283380F362F3}"/>
  <tableColumns count="24">
    <tableColumn id="1" xr3:uid="{430A86F3-E0C8-D546-B312-0A2B2F091EA5}" name="Block" dataDxfId="1"/>
    <tableColumn id="2" xr3:uid="{BFDA8A6F-76D9-974D-8C3D-87B108B4E6E9}" name="#"/>
    <tableColumn id="3" xr3:uid="{FA4084BF-768B-A84D-A7A6-866167193FC9}" name="종류" dataDxfId="0"/>
    <tableColumn id="4" xr3:uid="{D2F86E16-AD41-694E-A3A6-57640B8A84DA}" name="H"/>
    <tableColumn id="5" xr3:uid="{71A5C0DF-13CE-B044-AD47-883B490294E4}" name="W"/>
    <tableColumn id="6" xr3:uid="{52AF9C38-5712-834D-8B60-0D14D40D16B5}" name="S">
      <calculatedColumnFormula>D2*E2</calculatedColumnFormula>
    </tableColumn>
    <tableColumn id="7" xr3:uid="{BBF254B7-7EF3-D346-839F-F76F22B5AFB7}" name="IC"/>
    <tableColumn id="8" xr3:uid="{780A1367-E580-FA40-BFA7-C383AAE166B7}" name="OC"/>
    <tableColumn id="9" xr3:uid="{30A8AA5F-EC5E-DF4D-ACBA-A616F8AF58B1}" name="tile_S"/>
    <tableColumn id="10" xr3:uid="{90BBCC51-8824-DE48-95BE-587FE2D4AE47}" name="tile_IC"/>
    <tableColumn id="11" xr3:uid="{3882FAEE-BBE2-234E-B54E-DB763277C46D}" name="tile_OC"/>
    <tableColumn id="12" xr3:uid="{9D81D652-08CA-E04B-8AEA-3BC391D22687}" name="Input SRAM Depth (&lt;=30000)">
      <calculatedColumnFormula>I2*(J2/8)</calculatedColumnFormula>
    </tableColumn>
    <tableColumn id="13" xr3:uid="{D691A223-0551-2F42-8486-5E80B8BD64BA}" name="Psum SRAM Depth (&lt;= 15000)">
      <calculatedColumnFormula>I2*(K2/4)</calculatedColumnFormula>
    </tableColumn>
    <tableColumn id="14" xr3:uid="{BB6FB624-EBF4-1C4E-9414-367B94BCBE78}" name="Weight SRAM Depth (&lt;= 30000)">
      <calculatedColumnFormula>표1[[#This Row],[tile_IC]]*(표1[[#This Row],[tile_OC]]/4)</calculatedColumnFormula>
    </tableColumn>
    <tableColumn id="15" xr3:uid="{97AA551D-FAD8-9243-B8C5-5936E23964C1}" name="Repeat">
      <calculatedColumnFormula>ROUNDUP(F2/I2,0)*ROUNDUP(G2/J2,0)*ROUNDUP(H2/K2,0)</calculatedColumnFormula>
    </tableColumn>
    <tableColumn id="16" xr3:uid="{F5B6E28A-03BA-AC4A-A089-A695AB91CD63}" name="MAC 수">
      <calculatedColumnFormula>F2*G2*H2</calculatedColumnFormula>
    </tableColumn>
    <tableColumn id="17" xr3:uid="{DBE54AF0-BF0B-9944-BDD8-82E969BE167A}" name="CPU reference time(s)"/>
    <tableColumn id="20" xr3:uid="{B3D61C45-5156-6D4E-9CBB-795348BE7297}" name="FPGA End-to-End time(s)"/>
    <tableColumn id="18" xr3:uid="{F47B44D2-E242-C34D-B75A-FC478615E7CA}" name="Activation DMA time(s)"/>
    <tableColumn id="22" xr3:uid="{131351B4-B0A0-674C-9603-5663B352FA10}" name="Weight DMA time(s)"/>
    <tableColumn id="21" xr3:uid="{3AB89FDE-9634-FC45-A5C8-11293902397A}" name="Pure HW compute time(s)"/>
    <tableColumn id="19" xr3:uid="{ECDA598E-68AE-934F-8C20-2ECD6C998190}" name="Accumulation Time(s)"/>
    <tableColumn id="23" xr3:uid="{090D1282-272F-D848-BDD9-20AD36E9A520}" name="Speedup">
      <calculatedColumnFormula>표1[[#This Row],[CPU reference time(s)]]/표1[[#This Row],[FPGA End-to-End time(s)]]</calculatedColumnFormula>
    </tableColumn>
    <tableColumn id="24" xr3:uid="{EC6C62B9-5D78-7A41-8490-DD20F5237204}" name="Accumulation 비율 (%)">
      <calculatedColumnFormula>표1[[#This Row],[Accumulation Time(s)]]/표1[[#This Row],[FPGA End-to-End time(s)]]*100</calculatedColumnFormula>
    </tableColumn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F8F3AD-F4B0-FF47-A8AD-0DF73AB0A2AD}" name="표2" displayName="표2" ref="A1:D2" totalsRowShown="0">
  <autoFilter ref="A1:D2" xr:uid="{35F8F3AD-F4B0-FF47-A8AD-0DF73AB0A2AD}"/>
  <tableColumns count="4">
    <tableColumn id="1" xr3:uid="{A95F6DB6-8BDE-5F46-902A-618EC2ACA0A7}" name="CPU Full Time">
      <calculatedColumnFormula>SUM(표1[CPU reference time(s)])</calculatedColumnFormula>
    </tableColumn>
    <tableColumn id="2" xr3:uid="{4E416D1C-74F5-8B46-AD27-70B4644DE66F}" name="FPGA Full Time">
      <calculatedColumnFormula>SUM(표1[FPGA End-to-End time(s)])</calculatedColumnFormula>
    </tableColumn>
    <tableColumn id="3" xr3:uid="{3223B395-EB5F-E04D-97F9-993B923C2034}" name="Speedup(Weighted)">
      <calculatedColumnFormula>A2/B2</calculatedColumnFormula>
    </tableColumn>
    <tableColumn id="4" xr3:uid="{4B920F8E-DDCE-7242-A4F7-FF66D0D8B378}" name="Pure Compute Speedup">
      <calculatedColumnFormula>SUM(표1[CPU reference time(s)])/SUM(표1[Pure HW compute time(s)])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5AF3-C186-8C4F-BB01-E292F45B050D}">
  <dimension ref="A1:X52"/>
  <sheetViews>
    <sheetView tabSelected="1" topLeftCell="S1" workbookViewId="0">
      <selection activeCell="U10" sqref="U10"/>
    </sheetView>
  </sheetViews>
  <sheetFormatPr baseColWidth="10" defaultRowHeight="18" outlineLevelCol="2"/>
  <cols>
    <col min="4" max="11" width="10.7109375" customWidth="1" outlineLevel="2"/>
    <col min="12" max="12" width="33.42578125" customWidth="1" outlineLevel="2"/>
    <col min="13" max="13" width="32.42578125" customWidth="1" outlineLevel="2"/>
    <col min="14" max="14" width="29" customWidth="1" outlineLevel="2"/>
    <col min="15" max="15" width="29.28515625" customWidth="1"/>
    <col min="16" max="16" width="28.5703125" customWidth="1" outlineLevel="1"/>
    <col min="17" max="17" width="22" customWidth="1" outlineLevel="1"/>
    <col min="18" max="18" width="23.28515625" customWidth="1" outlineLevel="1"/>
    <col min="19" max="19" width="20.5703125" customWidth="1" outlineLevel="1"/>
    <col min="20" max="20" width="26" customWidth="1" outlineLevel="1"/>
    <col min="21" max="23" width="24.5703125" customWidth="1"/>
    <col min="24" max="24" width="21.57031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</v>
      </c>
      <c r="M1" t="s">
        <v>17</v>
      </c>
      <c r="N1" t="s">
        <v>19</v>
      </c>
      <c r="O1" t="s">
        <v>20</v>
      </c>
      <c r="P1" t="s">
        <v>21</v>
      </c>
      <c r="Q1" t="s">
        <v>23</v>
      </c>
      <c r="R1" t="s">
        <v>24</v>
      </c>
      <c r="S1" t="s">
        <v>26</v>
      </c>
      <c r="T1" t="s">
        <v>27</v>
      </c>
      <c r="U1" t="s">
        <v>25</v>
      </c>
      <c r="V1" t="s">
        <v>28</v>
      </c>
      <c r="W1" t="s">
        <v>22</v>
      </c>
      <c r="X1" t="s">
        <v>33</v>
      </c>
    </row>
    <row r="2" spans="1:24">
      <c r="A2" s="1">
        <v>1</v>
      </c>
      <c r="B2">
        <v>1</v>
      </c>
      <c r="C2" t="s">
        <v>12</v>
      </c>
      <c r="D2">
        <v>112</v>
      </c>
      <c r="E2">
        <v>112</v>
      </c>
      <c r="F2">
        <f>D2*E2</f>
        <v>12544</v>
      </c>
      <c r="G2">
        <v>32</v>
      </c>
      <c r="H2">
        <v>16</v>
      </c>
      <c r="I2">
        <v>3750</v>
      </c>
      <c r="J2">
        <v>32</v>
      </c>
      <c r="K2">
        <v>16</v>
      </c>
      <c r="L2">
        <f>I2*(J2/8)</f>
        <v>15000</v>
      </c>
      <c r="M2">
        <f>I2*(K2/4)</f>
        <v>15000</v>
      </c>
      <c r="N2">
        <f>표1[[#This Row],[tile_IC]]*(표1[[#This Row],[tile_OC]]/4)</f>
        <v>128</v>
      </c>
      <c r="O2">
        <f t="shared" ref="O2:O35" si="0">ROUNDUP(F2/I2,0)*ROUNDUP(G2/J2,0)*ROUNDUP(H2/K2,0)</f>
        <v>4</v>
      </c>
      <c r="P2">
        <f t="shared" ref="P2:P35" si="1">F2*G2*H2</f>
        <v>6422528</v>
      </c>
      <c r="Q2">
        <v>0.108191</v>
      </c>
      <c r="R2">
        <v>0.11034099999999999</v>
      </c>
      <c r="S2">
        <v>5.0583000000000003E-2</v>
      </c>
      <c r="T2">
        <v>7.2789999999999999E-3</v>
      </c>
      <c r="U2">
        <v>1.3121000000000001E-2</v>
      </c>
      <c r="V2">
        <v>2.0208E-2</v>
      </c>
      <c r="W2">
        <f>표1[[#This Row],[CPU reference time(s)]]/표1[[#This Row],[FPGA End-to-End time(s)]]</f>
        <v>0.98051494911229731</v>
      </c>
      <c r="X2">
        <f>표1[[#This Row],[Accumulation Time(s)]]/표1[[#This Row],[FPGA End-to-End time(s)]]*100</f>
        <v>18.314135271567235</v>
      </c>
    </row>
    <row r="3" spans="1:24">
      <c r="A3" s="1">
        <v>2</v>
      </c>
      <c r="B3">
        <v>2</v>
      </c>
      <c r="C3" t="s">
        <v>14</v>
      </c>
      <c r="D3">
        <v>112</v>
      </c>
      <c r="E3">
        <v>112</v>
      </c>
      <c r="F3">
        <f t="shared" ref="F3:F35" si="2">D3*E3</f>
        <v>12544</v>
      </c>
      <c r="G3">
        <v>16</v>
      </c>
      <c r="H3">
        <v>96</v>
      </c>
      <c r="I3">
        <v>625</v>
      </c>
      <c r="J3">
        <v>16</v>
      </c>
      <c r="K3">
        <v>96</v>
      </c>
      <c r="L3">
        <f t="shared" ref="L3:L35" si="3">I3*(J3/8)</f>
        <v>1250</v>
      </c>
      <c r="M3">
        <f t="shared" ref="M3:M35" si="4">I3*(K3/4)</f>
        <v>15000</v>
      </c>
      <c r="N3">
        <f>표1[[#This Row],[tile_IC]]*(표1[[#This Row],[tile_OC]]/4)</f>
        <v>384</v>
      </c>
      <c r="O3">
        <f t="shared" si="0"/>
        <v>21</v>
      </c>
      <c r="P3">
        <f t="shared" si="1"/>
        <v>19267584</v>
      </c>
      <c r="Q3">
        <v>0.306778</v>
      </c>
      <c r="R3">
        <v>0.39418500000000001</v>
      </c>
      <c r="S3">
        <v>5.4251000000000001E-2</v>
      </c>
      <c r="T3">
        <v>3.6955000000000002E-2</v>
      </c>
      <c r="U3">
        <v>7.0968000000000003E-2</v>
      </c>
      <c r="V3">
        <v>0.121572</v>
      </c>
      <c r="W3">
        <f>표1[[#This Row],[CPU reference time(s)]]/표1[[#This Row],[FPGA End-to-End time(s)]]</f>
        <v>0.77825893933051737</v>
      </c>
      <c r="X3">
        <f>표1[[#This Row],[Accumulation Time(s)]]/표1[[#This Row],[FPGA End-to-End time(s)]]*100</f>
        <v>30.841356215989951</v>
      </c>
    </row>
    <row r="4" spans="1:24">
      <c r="A4" s="1"/>
      <c r="B4">
        <v>3</v>
      </c>
      <c r="C4" t="s">
        <v>12</v>
      </c>
      <c r="D4">
        <v>56</v>
      </c>
      <c r="E4">
        <v>56</v>
      </c>
      <c r="F4">
        <f t="shared" si="2"/>
        <v>3136</v>
      </c>
      <c r="G4">
        <v>96</v>
      </c>
      <c r="H4">
        <v>24</v>
      </c>
      <c r="I4">
        <v>2500</v>
      </c>
      <c r="J4">
        <v>96</v>
      </c>
      <c r="K4">
        <v>24</v>
      </c>
      <c r="L4">
        <f t="shared" si="3"/>
        <v>30000</v>
      </c>
      <c r="M4">
        <f t="shared" si="4"/>
        <v>15000</v>
      </c>
      <c r="N4">
        <f>표1[[#This Row],[tile_IC]]*(표1[[#This Row],[tile_OC]]/4)</f>
        <v>576</v>
      </c>
      <c r="O4">
        <f t="shared" si="0"/>
        <v>2</v>
      </c>
      <c r="P4">
        <f t="shared" si="1"/>
        <v>7225344</v>
      </c>
      <c r="Q4">
        <v>0.12623799999999999</v>
      </c>
      <c r="R4">
        <v>7.0586999999999997E-2</v>
      </c>
      <c r="S4">
        <v>3.7573000000000002E-2</v>
      </c>
      <c r="T4">
        <v>4.248E-3</v>
      </c>
      <c r="U4">
        <v>6.8729999999999998E-3</v>
      </c>
      <c r="V4">
        <v>8.2620000000000002E-3</v>
      </c>
      <c r="W4">
        <f>표1[[#This Row],[CPU reference time(s)]]/표1[[#This Row],[FPGA End-to-End time(s)]]</f>
        <v>1.7884029637185317</v>
      </c>
      <c r="X4">
        <f>표1[[#This Row],[Accumulation Time(s)]]/표1[[#This Row],[FPGA End-to-End time(s)]]*100</f>
        <v>11.704704832334567</v>
      </c>
    </row>
    <row r="5" spans="1:24">
      <c r="A5" s="1"/>
      <c r="B5">
        <v>4</v>
      </c>
      <c r="C5" t="s">
        <v>14</v>
      </c>
      <c r="D5">
        <v>56</v>
      </c>
      <c r="E5">
        <v>56</v>
      </c>
      <c r="F5">
        <f t="shared" si="2"/>
        <v>3136</v>
      </c>
      <c r="G5">
        <v>24</v>
      </c>
      <c r="H5">
        <v>144</v>
      </c>
      <c r="I5">
        <v>416</v>
      </c>
      <c r="J5">
        <v>24</v>
      </c>
      <c r="K5">
        <v>144</v>
      </c>
      <c r="L5">
        <f t="shared" si="3"/>
        <v>1248</v>
      </c>
      <c r="M5">
        <f t="shared" si="4"/>
        <v>14976</v>
      </c>
      <c r="N5">
        <f>표1[[#This Row],[tile_IC]]*(표1[[#This Row],[tile_OC]]/4)</f>
        <v>864</v>
      </c>
      <c r="O5">
        <f t="shared" si="0"/>
        <v>8</v>
      </c>
      <c r="P5">
        <f t="shared" si="1"/>
        <v>10838016</v>
      </c>
      <c r="Q5">
        <v>0.14597199999999999</v>
      </c>
      <c r="R5">
        <v>0.15221199999999999</v>
      </c>
      <c r="S5">
        <v>2.1340000000000001E-2</v>
      </c>
      <c r="T5">
        <v>1.5372E-2</v>
      </c>
      <c r="U5">
        <v>2.7931000000000001E-2</v>
      </c>
      <c r="V5">
        <v>4.5844000000000003E-2</v>
      </c>
      <c r="W5">
        <f>표1[[#This Row],[CPU reference time(s)]]/표1[[#This Row],[FPGA End-to-End time(s)]]</f>
        <v>0.95900454629069987</v>
      </c>
      <c r="X5">
        <f>표1[[#This Row],[Accumulation Time(s)]]/표1[[#This Row],[FPGA End-to-End time(s)]]*100</f>
        <v>30.118518907839071</v>
      </c>
    </row>
    <row r="6" spans="1:24">
      <c r="A6" s="1"/>
      <c r="B6">
        <v>5</v>
      </c>
      <c r="C6" t="s">
        <v>12</v>
      </c>
      <c r="D6">
        <v>56</v>
      </c>
      <c r="E6">
        <v>56</v>
      </c>
      <c r="F6">
        <f t="shared" si="2"/>
        <v>3136</v>
      </c>
      <c r="G6">
        <v>144</v>
      </c>
      <c r="H6">
        <v>24</v>
      </c>
      <c r="I6">
        <v>1666</v>
      </c>
      <c r="J6">
        <v>144</v>
      </c>
      <c r="K6">
        <v>24</v>
      </c>
      <c r="L6">
        <f t="shared" si="3"/>
        <v>29988</v>
      </c>
      <c r="M6">
        <f t="shared" si="4"/>
        <v>9996</v>
      </c>
      <c r="N6">
        <f>표1[[#This Row],[tile_IC]]*(표1[[#This Row],[tile_OC]]/4)</f>
        <v>864</v>
      </c>
      <c r="O6">
        <f t="shared" si="0"/>
        <v>2</v>
      </c>
      <c r="P6">
        <f t="shared" si="1"/>
        <v>10838016</v>
      </c>
      <c r="Q6">
        <v>0.17241899999999999</v>
      </c>
      <c r="R6">
        <v>8.8563000000000003E-2</v>
      </c>
      <c r="S6">
        <v>5.5426000000000003E-2</v>
      </c>
      <c r="T6">
        <v>4.6899999999999997E-3</v>
      </c>
      <c r="U6">
        <v>8.0280000000000004E-3</v>
      </c>
      <c r="V6">
        <v>8.0199999999999994E-3</v>
      </c>
      <c r="W6">
        <f>표1[[#This Row],[CPU reference time(s)]]/표1[[#This Row],[FPGA End-to-End time(s)]]</f>
        <v>1.9468513939229699</v>
      </c>
      <c r="X6">
        <f>표1[[#This Row],[Accumulation Time(s)]]/표1[[#This Row],[FPGA End-to-End time(s)]]*100</f>
        <v>9.0557004618181391</v>
      </c>
    </row>
    <row r="7" spans="1:24">
      <c r="A7" s="1">
        <v>3</v>
      </c>
      <c r="B7">
        <v>6</v>
      </c>
      <c r="C7" t="s">
        <v>13</v>
      </c>
      <c r="D7">
        <v>56</v>
      </c>
      <c r="E7">
        <v>56</v>
      </c>
      <c r="F7">
        <f t="shared" si="2"/>
        <v>3136</v>
      </c>
      <c r="G7">
        <v>24</v>
      </c>
      <c r="H7">
        <v>144</v>
      </c>
      <c r="I7">
        <v>416</v>
      </c>
      <c r="J7">
        <v>24</v>
      </c>
      <c r="K7">
        <v>144</v>
      </c>
      <c r="L7">
        <f t="shared" si="3"/>
        <v>1248</v>
      </c>
      <c r="M7">
        <f t="shared" si="4"/>
        <v>14976</v>
      </c>
      <c r="N7">
        <f>표1[[#This Row],[tile_IC]]*(표1[[#This Row],[tile_OC]]/4)</f>
        <v>864</v>
      </c>
      <c r="O7">
        <f t="shared" si="0"/>
        <v>8</v>
      </c>
      <c r="P7">
        <f t="shared" si="1"/>
        <v>10838016</v>
      </c>
      <c r="Q7">
        <v>0.147206</v>
      </c>
      <c r="R7">
        <v>0.15035299999999999</v>
      </c>
      <c r="S7">
        <v>2.0334999999999999E-2</v>
      </c>
      <c r="T7">
        <v>1.4896E-2</v>
      </c>
      <c r="U7">
        <v>2.7903000000000001E-2</v>
      </c>
      <c r="V7">
        <v>4.6328000000000001E-2</v>
      </c>
      <c r="W7">
        <f>표1[[#This Row],[CPU reference time(s)]]/표1[[#This Row],[FPGA End-to-End time(s)]]</f>
        <v>0.97906925701515779</v>
      </c>
      <c r="X7">
        <f>표1[[#This Row],[Accumulation Time(s)]]/표1[[#This Row],[FPGA End-to-End time(s)]]*100</f>
        <v>30.812820495766637</v>
      </c>
    </row>
    <row r="8" spans="1:24">
      <c r="A8" s="1"/>
      <c r="B8">
        <v>7</v>
      </c>
      <c r="C8" t="s">
        <v>12</v>
      </c>
      <c r="D8">
        <v>28</v>
      </c>
      <c r="E8">
        <v>28</v>
      </c>
      <c r="F8">
        <f t="shared" si="2"/>
        <v>784</v>
      </c>
      <c r="G8">
        <v>144</v>
      </c>
      <c r="H8">
        <v>32</v>
      </c>
      <c r="I8">
        <v>784</v>
      </c>
      <c r="J8">
        <v>144</v>
      </c>
      <c r="K8">
        <v>32</v>
      </c>
      <c r="L8">
        <f t="shared" si="3"/>
        <v>14112</v>
      </c>
      <c r="M8">
        <f t="shared" si="4"/>
        <v>6272</v>
      </c>
      <c r="N8">
        <f>표1[[#This Row],[tile_IC]]*(표1[[#This Row],[tile_OC]]/4)</f>
        <v>1152</v>
      </c>
      <c r="O8">
        <f t="shared" si="0"/>
        <v>1</v>
      </c>
      <c r="P8">
        <f t="shared" si="1"/>
        <v>3612672</v>
      </c>
      <c r="Q8">
        <v>4.7001000000000001E-2</v>
      </c>
      <c r="R8">
        <v>2.7425999999999999E-2</v>
      </c>
      <c r="S8">
        <v>1.268E-2</v>
      </c>
      <c r="T8">
        <v>2.225E-3</v>
      </c>
      <c r="U8">
        <v>2.954E-3</v>
      </c>
      <c r="V8">
        <v>2.7060000000000001E-3</v>
      </c>
      <c r="W8">
        <f>표1[[#This Row],[CPU reference time(s)]]/표1[[#This Row],[FPGA End-to-End time(s)]]</f>
        <v>1.7137387880113761</v>
      </c>
      <c r="X8">
        <f>표1[[#This Row],[Accumulation Time(s)]]/표1[[#This Row],[FPGA End-to-End time(s)]]*100</f>
        <v>9.8665499890614754</v>
      </c>
    </row>
    <row r="9" spans="1:24">
      <c r="A9" s="1"/>
      <c r="B9">
        <v>8</v>
      </c>
      <c r="C9" t="s">
        <v>13</v>
      </c>
      <c r="D9">
        <v>28</v>
      </c>
      <c r="E9">
        <v>28</v>
      </c>
      <c r="F9">
        <f t="shared" si="2"/>
        <v>784</v>
      </c>
      <c r="G9">
        <v>32</v>
      </c>
      <c r="H9">
        <v>192</v>
      </c>
      <c r="I9">
        <v>312</v>
      </c>
      <c r="J9">
        <v>32</v>
      </c>
      <c r="K9">
        <v>192</v>
      </c>
      <c r="L9">
        <f t="shared" si="3"/>
        <v>1248</v>
      </c>
      <c r="M9">
        <f t="shared" si="4"/>
        <v>14976</v>
      </c>
      <c r="N9">
        <f>표1[[#This Row],[tile_IC]]*(표1[[#This Row],[tile_OC]]/4)</f>
        <v>1536</v>
      </c>
      <c r="O9">
        <f t="shared" si="0"/>
        <v>3</v>
      </c>
      <c r="P9">
        <f t="shared" si="1"/>
        <v>4816896</v>
      </c>
      <c r="Q9">
        <v>6.2432000000000001E-2</v>
      </c>
      <c r="R9">
        <v>5.4209E-2</v>
      </c>
      <c r="S9">
        <v>7.5570000000000003E-3</v>
      </c>
      <c r="T9">
        <v>6.3699999999999998E-3</v>
      </c>
      <c r="U9">
        <v>1.0019999999999999E-2</v>
      </c>
      <c r="V9">
        <v>1.5315E-2</v>
      </c>
      <c r="W9">
        <f>표1[[#This Row],[CPU reference time(s)]]/표1[[#This Row],[FPGA End-to-End time(s)]]</f>
        <v>1.1516906786695937</v>
      </c>
      <c r="X9">
        <f>표1[[#This Row],[Accumulation Time(s)]]/표1[[#This Row],[FPGA End-to-End time(s)]]*100</f>
        <v>28.251766311867033</v>
      </c>
    </row>
    <row r="10" spans="1:24">
      <c r="A10" s="1"/>
      <c r="B10">
        <v>9</v>
      </c>
      <c r="C10" t="s">
        <v>11</v>
      </c>
      <c r="D10">
        <v>28</v>
      </c>
      <c r="E10">
        <v>28</v>
      </c>
      <c r="F10">
        <f t="shared" si="2"/>
        <v>784</v>
      </c>
      <c r="G10">
        <v>192</v>
      </c>
      <c r="H10">
        <v>32</v>
      </c>
      <c r="I10">
        <v>784</v>
      </c>
      <c r="J10">
        <v>192</v>
      </c>
      <c r="K10">
        <v>32</v>
      </c>
      <c r="L10">
        <f t="shared" si="3"/>
        <v>18816</v>
      </c>
      <c r="M10">
        <f t="shared" si="4"/>
        <v>6272</v>
      </c>
      <c r="N10">
        <f>표1[[#This Row],[tile_IC]]*(표1[[#This Row],[tile_OC]]/4)</f>
        <v>1536</v>
      </c>
      <c r="O10">
        <f t="shared" si="0"/>
        <v>1</v>
      </c>
      <c r="P10">
        <f t="shared" si="1"/>
        <v>4816896</v>
      </c>
      <c r="Q10">
        <v>7.6843999999999996E-2</v>
      </c>
      <c r="R10">
        <v>3.1567999999999999E-2</v>
      </c>
      <c r="S10">
        <v>1.5800999999999999E-2</v>
      </c>
      <c r="T10">
        <v>2.3140000000000001E-3</v>
      </c>
      <c r="U10">
        <v>3.3440000000000002E-3</v>
      </c>
      <c r="V10">
        <v>2.7130000000000001E-3</v>
      </c>
      <c r="W10">
        <f>표1[[#This Row],[CPU reference time(s)]]/표1[[#This Row],[FPGA End-to-End time(s)]]</f>
        <v>2.4342372022301064</v>
      </c>
      <c r="X10">
        <f>표1[[#This Row],[Accumulation Time(s)]]/표1[[#This Row],[FPGA End-to-End time(s)]]*100</f>
        <v>8.594145970603142</v>
      </c>
    </row>
    <row r="11" spans="1:24">
      <c r="A11" s="1"/>
      <c r="B11">
        <v>10</v>
      </c>
      <c r="C11" t="s">
        <v>13</v>
      </c>
      <c r="D11">
        <v>28</v>
      </c>
      <c r="E11">
        <v>28</v>
      </c>
      <c r="F11">
        <f t="shared" si="2"/>
        <v>784</v>
      </c>
      <c r="G11">
        <v>32</v>
      </c>
      <c r="H11">
        <v>192</v>
      </c>
      <c r="I11">
        <v>312</v>
      </c>
      <c r="J11">
        <v>32</v>
      </c>
      <c r="K11">
        <v>192</v>
      </c>
      <c r="L11">
        <f t="shared" si="3"/>
        <v>1248</v>
      </c>
      <c r="M11">
        <f t="shared" si="4"/>
        <v>14976</v>
      </c>
      <c r="N11">
        <f>표1[[#This Row],[tile_IC]]*(표1[[#This Row],[tile_OC]]/4)</f>
        <v>1536</v>
      </c>
      <c r="O11">
        <f t="shared" si="0"/>
        <v>3</v>
      </c>
      <c r="P11">
        <f t="shared" si="1"/>
        <v>4816896</v>
      </c>
      <c r="Q11">
        <v>6.0755999999999998E-2</v>
      </c>
      <c r="R11">
        <v>5.4857000000000003E-2</v>
      </c>
      <c r="S11">
        <v>7.5649999999999997E-3</v>
      </c>
      <c r="T11">
        <v>6.1799999999999997E-3</v>
      </c>
      <c r="U11">
        <v>1.0021E-2</v>
      </c>
      <c r="V11">
        <v>1.5865000000000001E-2</v>
      </c>
      <c r="W11">
        <f>표1[[#This Row],[CPU reference time(s)]]/표1[[#This Row],[FPGA End-to-End time(s)]]</f>
        <v>1.1075341342034744</v>
      </c>
      <c r="X11">
        <f>표1[[#This Row],[Accumulation Time(s)]]/표1[[#This Row],[FPGA End-to-End time(s)]]*100</f>
        <v>28.920648230854766</v>
      </c>
    </row>
    <row r="12" spans="1:24">
      <c r="A12" s="1"/>
      <c r="B12">
        <v>11</v>
      </c>
      <c r="C12" t="s">
        <v>12</v>
      </c>
      <c r="D12">
        <v>28</v>
      </c>
      <c r="E12">
        <v>28</v>
      </c>
      <c r="F12">
        <f t="shared" si="2"/>
        <v>784</v>
      </c>
      <c r="G12">
        <v>192</v>
      </c>
      <c r="H12">
        <v>32</v>
      </c>
      <c r="I12">
        <v>784</v>
      </c>
      <c r="J12">
        <v>192</v>
      </c>
      <c r="K12">
        <v>32</v>
      </c>
      <c r="L12">
        <f t="shared" si="3"/>
        <v>18816</v>
      </c>
      <c r="M12">
        <f t="shared" si="4"/>
        <v>6272</v>
      </c>
      <c r="N12">
        <f>표1[[#This Row],[tile_IC]]*(표1[[#This Row],[tile_OC]]/4)</f>
        <v>1536</v>
      </c>
      <c r="O12">
        <f t="shared" si="0"/>
        <v>1</v>
      </c>
      <c r="P12">
        <f t="shared" si="1"/>
        <v>4816896</v>
      </c>
      <c r="Q12">
        <v>7.4038000000000007E-2</v>
      </c>
      <c r="R12">
        <v>3.0612E-2</v>
      </c>
      <c r="S12">
        <v>1.5259E-2</v>
      </c>
      <c r="T12">
        <v>2.3779999999999999E-3</v>
      </c>
      <c r="U12">
        <v>3.3419999999999999E-3</v>
      </c>
      <c r="V12">
        <v>2.7789999999999998E-3</v>
      </c>
      <c r="W12">
        <f>표1[[#This Row],[CPU reference time(s)]]/표1[[#This Row],[FPGA End-to-End time(s)]]</f>
        <v>2.4185940154187904</v>
      </c>
      <c r="X12">
        <f>표1[[#This Row],[Accumulation Time(s)]]/표1[[#This Row],[FPGA End-to-End time(s)]]*100</f>
        <v>9.0781392917809995</v>
      </c>
    </row>
    <row r="13" spans="1:24">
      <c r="A13" s="1">
        <v>4</v>
      </c>
      <c r="B13">
        <v>12</v>
      </c>
      <c r="C13" s="2" t="s">
        <v>13</v>
      </c>
      <c r="D13">
        <v>28</v>
      </c>
      <c r="E13">
        <v>28</v>
      </c>
      <c r="F13">
        <f t="shared" si="2"/>
        <v>784</v>
      </c>
      <c r="G13">
        <v>32</v>
      </c>
      <c r="H13">
        <v>192</v>
      </c>
      <c r="I13">
        <v>312</v>
      </c>
      <c r="J13">
        <v>32</v>
      </c>
      <c r="K13">
        <v>192</v>
      </c>
      <c r="L13">
        <f t="shared" si="3"/>
        <v>1248</v>
      </c>
      <c r="M13">
        <f t="shared" si="4"/>
        <v>14976</v>
      </c>
      <c r="N13">
        <f>표1[[#This Row],[tile_IC]]*(표1[[#This Row],[tile_OC]]/4)</f>
        <v>1536</v>
      </c>
      <c r="O13">
        <f t="shared" si="0"/>
        <v>3</v>
      </c>
      <c r="P13">
        <f t="shared" si="1"/>
        <v>4816896</v>
      </c>
      <c r="Q13">
        <v>5.9963000000000002E-2</v>
      </c>
      <c r="R13">
        <v>5.6091000000000002E-2</v>
      </c>
      <c r="S13">
        <v>7.4190000000000002E-3</v>
      </c>
      <c r="T13">
        <v>6.2940000000000001E-3</v>
      </c>
      <c r="U13">
        <v>1.0041E-2</v>
      </c>
      <c r="V13">
        <v>1.6199999999999999E-2</v>
      </c>
      <c r="W13">
        <f>표1[[#This Row],[CPU reference time(s)]]/표1[[#This Row],[FPGA End-to-End time(s)]]</f>
        <v>1.0690306822841453</v>
      </c>
      <c r="X13">
        <f>표1[[#This Row],[Accumulation Time(s)]]/표1[[#This Row],[FPGA End-to-End time(s)]]*100</f>
        <v>28.88163876557736</v>
      </c>
    </row>
    <row r="14" spans="1:24">
      <c r="A14" s="1"/>
      <c r="B14">
        <v>13</v>
      </c>
      <c r="C14" s="2" t="s">
        <v>11</v>
      </c>
      <c r="D14">
        <v>14</v>
      </c>
      <c r="E14">
        <v>14</v>
      </c>
      <c r="F14">
        <f t="shared" si="2"/>
        <v>196</v>
      </c>
      <c r="G14">
        <v>192</v>
      </c>
      <c r="H14">
        <v>64</v>
      </c>
      <c r="I14">
        <v>196</v>
      </c>
      <c r="J14">
        <v>192</v>
      </c>
      <c r="K14">
        <v>64</v>
      </c>
      <c r="L14">
        <f t="shared" si="3"/>
        <v>4704</v>
      </c>
      <c r="M14">
        <f t="shared" si="4"/>
        <v>3136</v>
      </c>
      <c r="N14">
        <f>표1[[#This Row],[tile_IC]]*(표1[[#This Row],[tile_OC]]/4)</f>
        <v>3072</v>
      </c>
      <c r="O14">
        <f t="shared" si="0"/>
        <v>1</v>
      </c>
      <c r="P14">
        <f t="shared" si="1"/>
        <v>2408448</v>
      </c>
      <c r="Q14">
        <v>3.7150000000000002E-2</v>
      </c>
      <c r="R14">
        <v>1.8665000000000001E-2</v>
      </c>
      <c r="S14">
        <v>5.3309999999999998E-3</v>
      </c>
      <c r="T14">
        <v>2.578E-3</v>
      </c>
      <c r="U14">
        <v>2.1480000000000002E-3</v>
      </c>
      <c r="V14">
        <v>1.5690000000000001E-3</v>
      </c>
      <c r="W14">
        <f>표1[[#This Row],[CPU reference time(s)]]/표1[[#This Row],[FPGA End-to-End time(s)]]</f>
        <v>1.990356281810876</v>
      </c>
      <c r="X14">
        <f>표1[[#This Row],[Accumulation Time(s)]]/표1[[#This Row],[FPGA End-to-End time(s)]]*100</f>
        <v>8.4061076881864452</v>
      </c>
    </row>
    <row r="15" spans="1:24">
      <c r="A15" s="1"/>
      <c r="B15">
        <v>14</v>
      </c>
      <c r="C15" s="2" t="s">
        <v>13</v>
      </c>
      <c r="D15">
        <v>14</v>
      </c>
      <c r="E15">
        <v>14</v>
      </c>
      <c r="F15">
        <f t="shared" si="2"/>
        <v>196</v>
      </c>
      <c r="G15">
        <v>64</v>
      </c>
      <c r="H15">
        <v>384</v>
      </c>
      <c r="I15">
        <v>156</v>
      </c>
      <c r="J15">
        <v>64</v>
      </c>
      <c r="K15">
        <v>384</v>
      </c>
      <c r="L15">
        <f t="shared" si="3"/>
        <v>1248</v>
      </c>
      <c r="M15">
        <f t="shared" si="4"/>
        <v>14976</v>
      </c>
      <c r="N15">
        <f>표1[[#This Row],[tile_IC]]*(표1[[#This Row],[tile_OC]]/4)</f>
        <v>6144</v>
      </c>
      <c r="O15">
        <f t="shared" si="0"/>
        <v>2</v>
      </c>
      <c r="P15">
        <f t="shared" si="1"/>
        <v>4816896</v>
      </c>
      <c r="Q15">
        <v>5.7070999999999997E-2</v>
      </c>
      <c r="R15">
        <v>3.7025000000000002E-2</v>
      </c>
      <c r="S15">
        <v>5.0850000000000001E-3</v>
      </c>
      <c r="T15">
        <v>6.8310000000000003E-3</v>
      </c>
      <c r="U15">
        <v>6.5510000000000004E-3</v>
      </c>
      <c r="V15">
        <v>8.3669999999999994E-3</v>
      </c>
      <c r="W15">
        <f>표1[[#This Row],[CPU reference time(s)]]/표1[[#This Row],[FPGA End-to-End time(s)]]</f>
        <v>1.541417960837272</v>
      </c>
      <c r="X15">
        <f>표1[[#This Row],[Accumulation Time(s)]]/표1[[#This Row],[FPGA End-to-End time(s)]]*100</f>
        <v>22.598244429439564</v>
      </c>
    </row>
    <row r="16" spans="1:24">
      <c r="A16" s="1"/>
      <c r="B16">
        <v>15</v>
      </c>
      <c r="C16" s="2" t="s">
        <v>11</v>
      </c>
      <c r="D16">
        <v>14</v>
      </c>
      <c r="E16">
        <v>14</v>
      </c>
      <c r="F16">
        <f t="shared" si="2"/>
        <v>196</v>
      </c>
      <c r="G16">
        <v>384</v>
      </c>
      <c r="H16">
        <v>64</v>
      </c>
      <c r="I16">
        <v>196</v>
      </c>
      <c r="J16">
        <v>384</v>
      </c>
      <c r="K16">
        <v>64</v>
      </c>
      <c r="L16">
        <f t="shared" si="3"/>
        <v>9408</v>
      </c>
      <c r="M16">
        <f t="shared" si="4"/>
        <v>3136</v>
      </c>
      <c r="N16">
        <f>표1[[#This Row],[tile_IC]]*(표1[[#This Row],[tile_OC]]/4)</f>
        <v>6144</v>
      </c>
      <c r="O16">
        <f t="shared" si="0"/>
        <v>1</v>
      </c>
      <c r="P16">
        <f t="shared" si="1"/>
        <v>4816896</v>
      </c>
      <c r="Q16">
        <v>6.2576999999999994E-2</v>
      </c>
      <c r="R16">
        <v>2.3106999999999999E-2</v>
      </c>
      <c r="S16">
        <v>8.8529999999999998E-3</v>
      </c>
      <c r="T16">
        <v>3.5239999999999998E-3</v>
      </c>
      <c r="U16">
        <v>3.0249999999999999E-3</v>
      </c>
      <c r="V16">
        <v>1.6429999999999999E-3</v>
      </c>
      <c r="W16">
        <f>표1[[#This Row],[CPU reference time(s)]]/표1[[#This Row],[FPGA End-to-End time(s)]]</f>
        <v>2.7081403903579</v>
      </c>
      <c r="X16">
        <f>표1[[#This Row],[Accumulation Time(s)]]/표1[[#This Row],[FPGA End-to-End time(s)]]*100</f>
        <v>7.1103994460553084</v>
      </c>
    </row>
    <row r="17" spans="1:24">
      <c r="A17" s="1"/>
      <c r="B17">
        <v>16</v>
      </c>
      <c r="C17" s="2" t="s">
        <v>13</v>
      </c>
      <c r="D17">
        <v>14</v>
      </c>
      <c r="E17">
        <v>14</v>
      </c>
      <c r="F17">
        <f t="shared" si="2"/>
        <v>196</v>
      </c>
      <c r="G17">
        <v>64</v>
      </c>
      <c r="H17">
        <v>384</v>
      </c>
      <c r="I17">
        <v>156</v>
      </c>
      <c r="J17">
        <v>64</v>
      </c>
      <c r="K17">
        <v>384</v>
      </c>
      <c r="L17">
        <f t="shared" si="3"/>
        <v>1248</v>
      </c>
      <c r="M17">
        <f t="shared" si="4"/>
        <v>14976</v>
      </c>
      <c r="N17">
        <f>표1[[#This Row],[tile_IC]]*(표1[[#This Row],[tile_OC]]/4)</f>
        <v>6144</v>
      </c>
      <c r="O17">
        <f t="shared" si="0"/>
        <v>2</v>
      </c>
      <c r="P17">
        <f t="shared" si="1"/>
        <v>4816896</v>
      </c>
      <c r="Q17">
        <v>5.6931000000000002E-2</v>
      </c>
      <c r="R17">
        <v>3.7818999999999998E-2</v>
      </c>
      <c r="S17">
        <v>4.738E-3</v>
      </c>
      <c r="T17">
        <v>6.9300000000000004E-3</v>
      </c>
      <c r="U17">
        <v>6.5319999999999996E-3</v>
      </c>
      <c r="V17">
        <v>8.5509999999999996E-3</v>
      </c>
      <c r="W17">
        <f>표1[[#This Row],[CPU reference time(s)]]/표1[[#This Row],[FPGA End-to-End time(s)]]</f>
        <v>1.5053544514661943</v>
      </c>
      <c r="X17">
        <f>표1[[#This Row],[Accumulation Time(s)]]/표1[[#This Row],[FPGA End-to-End time(s)]]*100</f>
        <v>22.610328141939238</v>
      </c>
    </row>
    <row r="18" spans="1:24">
      <c r="A18" s="1"/>
      <c r="B18">
        <v>17</v>
      </c>
      <c r="C18" s="2" t="s">
        <v>11</v>
      </c>
      <c r="D18">
        <v>14</v>
      </c>
      <c r="E18">
        <v>14</v>
      </c>
      <c r="F18">
        <f t="shared" si="2"/>
        <v>196</v>
      </c>
      <c r="G18">
        <v>384</v>
      </c>
      <c r="H18">
        <v>64</v>
      </c>
      <c r="I18">
        <v>196</v>
      </c>
      <c r="J18">
        <v>384</v>
      </c>
      <c r="K18">
        <v>64</v>
      </c>
      <c r="L18">
        <f t="shared" si="3"/>
        <v>9408</v>
      </c>
      <c r="M18">
        <f t="shared" si="4"/>
        <v>3136</v>
      </c>
      <c r="N18">
        <f>표1[[#This Row],[tile_IC]]*(표1[[#This Row],[tile_OC]]/4)</f>
        <v>6144</v>
      </c>
      <c r="O18">
        <f t="shared" si="0"/>
        <v>1</v>
      </c>
      <c r="P18">
        <f t="shared" si="1"/>
        <v>4816896</v>
      </c>
      <c r="Q18">
        <v>6.2697000000000003E-2</v>
      </c>
      <c r="R18">
        <v>2.4228E-2</v>
      </c>
      <c r="S18">
        <v>9.8490000000000001E-3</v>
      </c>
      <c r="T18">
        <v>3.6180000000000001E-3</v>
      </c>
      <c r="U18">
        <v>3.006E-3</v>
      </c>
      <c r="V18">
        <v>1.6069999999999999E-3</v>
      </c>
      <c r="W18">
        <f>표1[[#This Row],[CPU reference time(s)]]/표1[[#This Row],[FPGA End-to-End time(s)]]</f>
        <v>2.5877909856364538</v>
      </c>
      <c r="X18">
        <f>표1[[#This Row],[Accumulation Time(s)]]/표1[[#This Row],[FPGA End-to-End time(s)]]*100</f>
        <v>6.6328215288096422</v>
      </c>
    </row>
    <row r="19" spans="1:24">
      <c r="A19" s="1"/>
      <c r="B19">
        <v>18</v>
      </c>
      <c r="C19" s="2" t="s">
        <v>13</v>
      </c>
      <c r="D19">
        <v>14</v>
      </c>
      <c r="E19">
        <v>14</v>
      </c>
      <c r="F19">
        <f t="shared" si="2"/>
        <v>196</v>
      </c>
      <c r="G19">
        <v>64</v>
      </c>
      <c r="H19">
        <v>384</v>
      </c>
      <c r="I19">
        <v>156</v>
      </c>
      <c r="J19">
        <v>64</v>
      </c>
      <c r="K19">
        <v>384</v>
      </c>
      <c r="L19">
        <f t="shared" si="3"/>
        <v>1248</v>
      </c>
      <c r="M19">
        <f t="shared" si="4"/>
        <v>14976</v>
      </c>
      <c r="N19">
        <f>표1[[#This Row],[tile_IC]]*(표1[[#This Row],[tile_OC]]/4)</f>
        <v>6144</v>
      </c>
      <c r="O19">
        <f t="shared" si="0"/>
        <v>2</v>
      </c>
      <c r="P19">
        <f t="shared" si="1"/>
        <v>4816896</v>
      </c>
      <c r="Q19">
        <v>5.6508999999999997E-2</v>
      </c>
      <c r="R19">
        <v>3.7615999999999997E-2</v>
      </c>
      <c r="S19">
        <v>4.7829999999999999E-3</v>
      </c>
      <c r="T19">
        <v>6.8659999999999997E-3</v>
      </c>
      <c r="U19">
        <v>6.5399999999999998E-3</v>
      </c>
      <c r="V19">
        <v>8.5039999999999994E-3</v>
      </c>
      <c r="W19">
        <f>표1[[#This Row],[CPU reference time(s)]]/표1[[#This Row],[FPGA End-to-End time(s)]]</f>
        <v>1.502259676733305</v>
      </c>
      <c r="X19">
        <f>표1[[#This Row],[Accumulation Time(s)]]/표1[[#This Row],[FPGA End-to-End time(s)]]*100</f>
        <v>22.607401105912377</v>
      </c>
    </row>
    <row r="20" spans="1:24">
      <c r="A20" s="1"/>
      <c r="B20">
        <v>19</v>
      </c>
      <c r="C20" s="2" t="s">
        <v>11</v>
      </c>
      <c r="D20">
        <v>14</v>
      </c>
      <c r="E20">
        <v>14</v>
      </c>
      <c r="F20">
        <f t="shared" si="2"/>
        <v>196</v>
      </c>
      <c r="G20">
        <v>384</v>
      </c>
      <c r="H20">
        <v>64</v>
      </c>
      <c r="I20">
        <v>196</v>
      </c>
      <c r="J20">
        <v>384</v>
      </c>
      <c r="K20">
        <v>64</v>
      </c>
      <c r="L20">
        <f t="shared" si="3"/>
        <v>9408</v>
      </c>
      <c r="M20">
        <f t="shared" si="4"/>
        <v>3136</v>
      </c>
      <c r="N20">
        <f>표1[[#This Row],[tile_IC]]*(표1[[#This Row],[tile_OC]]/4)</f>
        <v>6144</v>
      </c>
      <c r="O20">
        <f t="shared" si="0"/>
        <v>1</v>
      </c>
      <c r="P20">
        <f t="shared" si="1"/>
        <v>4816896</v>
      </c>
      <c r="Q20">
        <v>6.3368999999999995E-2</v>
      </c>
      <c r="R20">
        <v>2.4211E-2</v>
      </c>
      <c r="S20">
        <v>9.8670000000000008E-3</v>
      </c>
      <c r="T20">
        <v>3.5439999999999998E-3</v>
      </c>
      <c r="U20">
        <v>3.0279999999999999E-3</v>
      </c>
      <c r="V20">
        <v>1.627E-3</v>
      </c>
      <c r="W20">
        <f>표1[[#This Row],[CPU reference time(s)]]/표1[[#This Row],[FPGA End-to-End time(s)]]</f>
        <v>2.6173640080954934</v>
      </c>
      <c r="X20">
        <f>표1[[#This Row],[Accumulation Time(s)]]/표1[[#This Row],[FPGA End-to-End time(s)]]*100</f>
        <v>6.7200859113626041</v>
      </c>
    </row>
    <row r="21" spans="1:24">
      <c r="A21" s="1">
        <v>5</v>
      </c>
      <c r="B21">
        <v>20</v>
      </c>
      <c r="C21" s="2" t="s">
        <v>13</v>
      </c>
      <c r="D21">
        <v>14</v>
      </c>
      <c r="E21">
        <v>14</v>
      </c>
      <c r="F21">
        <f t="shared" si="2"/>
        <v>196</v>
      </c>
      <c r="G21">
        <v>64</v>
      </c>
      <c r="H21">
        <v>384</v>
      </c>
      <c r="I21">
        <v>156</v>
      </c>
      <c r="J21">
        <v>64</v>
      </c>
      <c r="K21">
        <v>384</v>
      </c>
      <c r="L21">
        <f t="shared" si="3"/>
        <v>1248</v>
      </c>
      <c r="M21">
        <f t="shared" si="4"/>
        <v>14976</v>
      </c>
      <c r="N21">
        <f>표1[[#This Row],[tile_IC]]*(표1[[#This Row],[tile_OC]]/4)</f>
        <v>6144</v>
      </c>
      <c r="O21">
        <f t="shared" si="0"/>
        <v>2</v>
      </c>
      <c r="P21">
        <f t="shared" si="1"/>
        <v>4816896</v>
      </c>
      <c r="Q21">
        <v>5.2109999999999997E-2</v>
      </c>
      <c r="R21">
        <v>3.8626000000000001E-2</v>
      </c>
      <c r="S21">
        <v>5.0159999999999996E-3</v>
      </c>
      <c r="T21">
        <v>6.875E-3</v>
      </c>
      <c r="U21">
        <v>6.5779999999999996E-3</v>
      </c>
      <c r="V21">
        <v>8.5559999999999994E-3</v>
      </c>
      <c r="W21">
        <f>표1[[#This Row],[CPU reference time(s)]]/표1[[#This Row],[FPGA End-to-End time(s)]]</f>
        <v>1.349091285662507</v>
      </c>
      <c r="X21">
        <f>표1[[#This Row],[Accumulation Time(s)]]/표1[[#This Row],[FPGA End-to-End time(s)]]*100</f>
        <v>22.150882825040128</v>
      </c>
    </row>
    <row r="22" spans="1:24">
      <c r="A22" s="1"/>
      <c r="B22">
        <v>21</v>
      </c>
      <c r="C22" s="2" t="s">
        <v>11</v>
      </c>
      <c r="D22">
        <v>14</v>
      </c>
      <c r="E22">
        <v>14</v>
      </c>
      <c r="F22">
        <f t="shared" si="2"/>
        <v>196</v>
      </c>
      <c r="G22">
        <v>384</v>
      </c>
      <c r="H22">
        <v>96</v>
      </c>
      <c r="I22">
        <v>156</v>
      </c>
      <c r="J22">
        <v>384</v>
      </c>
      <c r="K22">
        <v>96</v>
      </c>
      <c r="L22">
        <f t="shared" si="3"/>
        <v>7488</v>
      </c>
      <c r="M22">
        <f t="shared" si="4"/>
        <v>3744</v>
      </c>
      <c r="N22">
        <f>표1[[#This Row],[tile_IC]]*(표1[[#This Row],[tile_OC]]/4)</f>
        <v>9216</v>
      </c>
      <c r="O22">
        <f t="shared" si="0"/>
        <v>2</v>
      </c>
      <c r="P22">
        <f t="shared" si="1"/>
        <v>7225344</v>
      </c>
      <c r="Q22">
        <v>9.1488E-2</v>
      </c>
      <c r="R22">
        <v>3.8822000000000002E-2</v>
      </c>
      <c r="S22">
        <v>1.2309E-2</v>
      </c>
      <c r="T22">
        <v>1.0106E-2</v>
      </c>
      <c r="U22">
        <v>5.2680000000000001E-3</v>
      </c>
      <c r="V22">
        <v>2.7070000000000002E-3</v>
      </c>
      <c r="W22">
        <f>표1[[#This Row],[CPU reference time(s)]]/표1[[#This Row],[FPGA End-to-End time(s)]]</f>
        <v>2.3566019267425684</v>
      </c>
      <c r="X22">
        <f>표1[[#This Row],[Accumulation Time(s)]]/표1[[#This Row],[FPGA End-to-End time(s)]]*100</f>
        <v>6.9728504456236156</v>
      </c>
    </row>
    <row r="23" spans="1:24">
      <c r="A23" s="1"/>
      <c r="B23">
        <v>22</v>
      </c>
      <c r="C23" s="2" t="s">
        <v>13</v>
      </c>
      <c r="D23">
        <v>14</v>
      </c>
      <c r="E23">
        <v>14</v>
      </c>
      <c r="F23">
        <f t="shared" si="2"/>
        <v>196</v>
      </c>
      <c r="G23">
        <v>96</v>
      </c>
      <c r="H23">
        <v>576</v>
      </c>
      <c r="I23">
        <v>104</v>
      </c>
      <c r="J23">
        <v>96</v>
      </c>
      <c r="K23">
        <v>576</v>
      </c>
      <c r="L23">
        <f t="shared" si="3"/>
        <v>1248</v>
      </c>
      <c r="M23">
        <f t="shared" si="4"/>
        <v>14976</v>
      </c>
      <c r="N23">
        <f>표1[[#This Row],[tile_IC]]*(표1[[#This Row],[tile_OC]]/4)</f>
        <v>13824</v>
      </c>
      <c r="O23">
        <f t="shared" si="0"/>
        <v>2</v>
      </c>
      <c r="P23">
        <f t="shared" si="1"/>
        <v>10838016</v>
      </c>
      <c r="Q23">
        <v>0.127029</v>
      </c>
      <c r="R23">
        <v>5.3664000000000003E-2</v>
      </c>
      <c r="S23">
        <v>5.8339999999999998E-3</v>
      </c>
      <c r="T23">
        <v>1.2041E-2</v>
      </c>
      <c r="U23">
        <v>1.0527E-2</v>
      </c>
      <c r="V23">
        <v>1.1636000000000001E-2</v>
      </c>
      <c r="W23">
        <f>표1[[#This Row],[CPU reference time(s)]]/표1[[#This Row],[FPGA End-to-End time(s)]]</f>
        <v>2.3671176207513418</v>
      </c>
      <c r="X23">
        <f>표1[[#This Row],[Accumulation Time(s)]]/표1[[#This Row],[FPGA End-to-End time(s)]]*100</f>
        <v>21.683064997018487</v>
      </c>
    </row>
    <row r="24" spans="1:24">
      <c r="A24" s="1"/>
      <c r="B24">
        <v>23</v>
      </c>
      <c r="C24" s="2" t="s">
        <v>11</v>
      </c>
      <c r="D24">
        <v>14</v>
      </c>
      <c r="E24">
        <v>14</v>
      </c>
      <c r="F24">
        <f t="shared" si="2"/>
        <v>196</v>
      </c>
      <c r="G24">
        <v>576</v>
      </c>
      <c r="H24">
        <v>96</v>
      </c>
      <c r="I24">
        <v>196</v>
      </c>
      <c r="J24">
        <v>576</v>
      </c>
      <c r="K24">
        <v>96</v>
      </c>
      <c r="L24">
        <f t="shared" si="3"/>
        <v>14112</v>
      </c>
      <c r="M24">
        <f t="shared" si="4"/>
        <v>4704</v>
      </c>
      <c r="N24">
        <f>표1[[#This Row],[tile_IC]]*(표1[[#This Row],[tile_OC]]/4)</f>
        <v>13824</v>
      </c>
      <c r="O24">
        <f t="shared" si="0"/>
        <v>1</v>
      </c>
      <c r="P24">
        <f t="shared" si="1"/>
        <v>10838016</v>
      </c>
      <c r="Q24">
        <v>0.15149899999999999</v>
      </c>
      <c r="R24">
        <v>3.2982999999999998E-2</v>
      </c>
      <c r="S24">
        <v>1.1967999999999999E-2</v>
      </c>
      <c r="T24">
        <v>6.1380000000000002E-3</v>
      </c>
      <c r="U24">
        <v>5.4489999999999999E-3</v>
      </c>
      <c r="V24">
        <v>2.2060000000000001E-3</v>
      </c>
      <c r="W24">
        <f>표1[[#This Row],[CPU reference time(s)]]/표1[[#This Row],[FPGA End-to-End time(s)]]</f>
        <v>4.5932450050025775</v>
      </c>
      <c r="X24">
        <f>표1[[#This Row],[Accumulation Time(s)]]/표1[[#This Row],[FPGA End-to-End time(s)]]*100</f>
        <v>6.6882939696207133</v>
      </c>
    </row>
    <row r="25" spans="1:24">
      <c r="A25" s="1"/>
      <c r="B25">
        <v>24</v>
      </c>
      <c r="C25" s="2" t="s">
        <v>13</v>
      </c>
      <c r="D25">
        <v>14</v>
      </c>
      <c r="E25">
        <v>14</v>
      </c>
      <c r="F25">
        <f t="shared" si="2"/>
        <v>196</v>
      </c>
      <c r="G25">
        <v>96</v>
      </c>
      <c r="H25">
        <v>576</v>
      </c>
      <c r="I25">
        <v>104</v>
      </c>
      <c r="J25">
        <v>96</v>
      </c>
      <c r="K25">
        <v>576</v>
      </c>
      <c r="L25">
        <f t="shared" si="3"/>
        <v>1248</v>
      </c>
      <c r="M25">
        <f t="shared" si="4"/>
        <v>14976</v>
      </c>
      <c r="N25">
        <f>표1[[#This Row],[tile_IC]]*(표1[[#This Row],[tile_OC]]/4)</f>
        <v>13824</v>
      </c>
      <c r="O25">
        <f t="shared" si="0"/>
        <v>2</v>
      </c>
      <c r="P25">
        <f t="shared" si="1"/>
        <v>10838016</v>
      </c>
      <c r="Q25">
        <v>0.12865199999999999</v>
      </c>
      <c r="R25">
        <v>5.4350000000000002E-2</v>
      </c>
      <c r="S25">
        <v>5.4510000000000001E-3</v>
      </c>
      <c r="T25">
        <v>1.2489999999999999E-2</v>
      </c>
      <c r="U25">
        <v>1.052E-2</v>
      </c>
      <c r="V25">
        <v>1.1625999999999999E-2</v>
      </c>
      <c r="W25">
        <f>표1[[#This Row],[CPU reference time(s)]]/표1[[#This Row],[FPGA End-to-End time(s)]]</f>
        <v>2.3671021159153631</v>
      </c>
      <c r="X25">
        <f>표1[[#This Row],[Accumulation Time(s)]]/표1[[#This Row],[FPGA End-to-End time(s)]]*100</f>
        <v>21.390984360625573</v>
      </c>
    </row>
    <row r="26" spans="1:24">
      <c r="A26" s="1"/>
      <c r="B26">
        <v>25</v>
      </c>
      <c r="C26" s="2" t="s">
        <v>11</v>
      </c>
      <c r="D26">
        <v>14</v>
      </c>
      <c r="E26">
        <v>14</v>
      </c>
      <c r="F26">
        <f t="shared" si="2"/>
        <v>196</v>
      </c>
      <c r="G26">
        <v>576</v>
      </c>
      <c r="H26">
        <v>96</v>
      </c>
      <c r="I26">
        <v>196</v>
      </c>
      <c r="J26">
        <v>576</v>
      </c>
      <c r="K26">
        <v>96</v>
      </c>
      <c r="L26">
        <f t="shared" si="3"/>
        <v>14112</v>
      </c>
      <c r="M26">
        <f t="shared" si="4"/>
        <v>4704</v>
      </c>
      <c r="N26">
        <f>표1[[#This Row],[tile_IC]]*(표1[[#This Row],[tile_OC]]/4)</f>
        <v>13824</v>
      </c>
      <c r="O26">
        <f t="shared" si="0"/>
        <v>1</v>
      </c>
      <c r="P26">
        <f t="shared" si="1"/>
        <v>10838016</v>
      </c>
      <c r="Q26">
        <v>0.13950799999999999</v>
      </c>
      <c r="R26">
        <v>3.2763E-2</v>
      </c>
      <c r="S26">
        <v>1.2222E-2</v>
      </c>
      <c r="T26">
        <v>6.1149999999999998E-3</v>
      </c>
      <c r="U26">
        <v>5.4549999999999998E-3</v>
      </c>
      <c r="V26">
        <v>2.2200000000000002E-3</v>
      </c>
      <c r="W26">
        <f>표1[[#This Row],[CPU reference time(s)]]/표1[[#This Row],[FPGA End-to-End time(s)]]</f>
        <v>4.2580960229527207</v>
      </c>
      <c r="X26">
        <f>표1[[#This Row],[Accumulation Time(s)]]/표1[[#This Row],[FPGA End-to-End time(s)]]*100</f>
        <v>6.7759362695723846</v>
      </c>
    </row>
    <row r="27" spans="1:24">
      <c r="A27" s="1">
        <v>6</v>
      </c>
      <c r="B27">
        <v>26</v>
      </c>
      <c r="C27" s="2" t="s">
        <v>13</v>
      </c>
      <c r="D27">
        <v>14</v>
      </c>
      <c r="E27">
        <v>14</v>
      </c>
      <c r="F27">
        <f t="shared" si="2"/>
        <v>196</v>
      </c>
      <c r="G27">
        <v>96</v>
      </c>
      <c r="H27">
        <v>576</v>
      </c>
      <c r="I27">
        <v>104</v>
      </c>
      <c r="J27">
        <v>96</v>
      </c>
      <c r="K27">
        <v>576</v>
      </c>
      <c r="L27">
        <f t="shared" si="3"/>
        <v>1248</v>
      </c>
      <c r="M27">
        <f t="shared" si="4"/>
        <v>14976</v>
      </c>
      <c r="N27">
        <f>표1[[#This Row],[tile_IC]]*(표1[[#This Row],[tile_OC]]/4)</f>
        <v>13824</v>
      </c>
      <c r="O27">
        <f t="shared" si="0"/>
        <v>2</v>
      </c>
      <c r="P27">
        <f t="shared" si="1"/>
        <v>10838016</v>
      </c>
      <c r="Q27">
        <v>0.14016200000000001</v>
      </c>
      <c r="R27">
        <v>5.2696E-2</v>
      </c>
      <c r="S27">
        <v>5.3920000000000001E-3</v>
      </c>
      <c r="T27">
        <v>1.2056000000000001E-2</v>
      </c>
      <c r="U27">
        <v>1.0513E-2</v>
      </c>
      <c r="V27">
        <v>1.2303E-2</v>
      </c>
      <c r="W27">
        <f>표1[[#This Row],[CPU reference time(s)]]/표1[[#This Row],[FPGA End-to-End time(s)]]</f>
        <v>2.6598223774100505</v>
      </c>
      <c r="X27">
        <f>표1[[#This Row],[Accumulation Time(s)]]/표1[[#This Row],[FPGA End-to-End time(s)]]*100</f>
        <v>23.347123121299528</v>
      </c>
    </row>
    <row r="28" spans="1:24">
      <c r="A28" s="1"/>
      <c r="B28">
        <v>27</v>
      </c>
      <c r="C28" s="2" t="s">
        <v>11</v>
      </c>
      <c r="D28">
        <v>7</v>
      </c>
      <c r="E28">
        <v>7</v>
      </c>
      <c r="F28">
        <f t="shared" si="2"/>
        <v>49</v>
      </c>
      <c r="G28">
        <v>576</v>
      </c>
      <c r="H28">
        <v>160</v>
      </c>
      <c r="I28">
        <v>49</v>
      </c>
      <c r="J28">
        <v>576</v>
      </c>
      <c r="K28">
        <v>160</v>
      </c>
      <c r="L28">
        <f t="shared" si="3"/>
        <v>3528</v>
      </c>
      <c r="M28">
        <f t="shared" si="4"/>
        <v>1960</v>
      </c>
      <c r="N28">
        <f>표1[[#This Row],[tile_IC]]*(표1[[#This Row],[tile_OC]]/4)</f>
        <v>23040</v>
      </c>
      <c r="O28">
        <f t="shared" si="0"/>
        <v>1</v>
      </c>
      <c r="P28">
        <f t="shared" si="1"/>
        <v>4515840</v>
      </c>
      <c r="Q28">
        <v>6.3783999999999993E-2</v>
      </c>
      <c r="R28">
        <v>2.4808E-2</v>
      </c>
      <c r="S28">
        <v>4.0309999999999999E-3</v>
      </c>
      <c r="T28">
        <v>9.6290000000000004E-3</v>
      </c>
      <c r="U28">
        <v>3.3869999999999998E-3</v>
      </c>
      <c r="V28">
        <v>1.2290000000000001E-3</v>
      </c>
      <c r="W28">
        <f>표1[[#This Row],[CPU reference time(s)]]/표1[[#This Row],[FPGA End-to-End time(s)]]</f>
        <v>2.5711060948081261</v>
      </c>
      <c r="X28">
        <f>표1[[#This Row],[Accumulation Time(s)]]/표1[[#This Row],[FPGA End-to-End time(s)]]*100</f>
        <v>4.9540470815865847</v>
      </c>
    </row>
    <row r="29" spans="1:24">
      <c r="A29" s="1"/>
      <c r="B29">
        <v>28</v>
      </c>
      <c r="C29" s="2" t="s">
        <v>13</v>
      </c>
      <c r="D29">
        <v>7</v>
      </c>
      <c r="E29">
        <v>7</v>
      </c>
      <c r="F29">
        <f t="shared" si="2"/>
        <v>49</v>
      </c>
      <c r="G29">
        <v>160</v>
      </c>
      <c r="H29">
        <v>960</v>
      </c>
      <c r="I29">
        <v>49</v>
      </c>
      <c r="J29">
        <v>160</v>
      </c>
      <c r="K29">
        <v>750</v>
      </c>
      <c r="L29">
        <f t="shared" si="3"/>
        <v>980</v>
      </c>
      <c r="M29">
        <f>I29*(K29/4)</f>
        <v>9187.5</v>
      </c>
      <c r="N29">
        <f>표1[[#This Row],[tile_IC]]*(표1[[#This Row],[tile_OC]]/4)</f>
        <v>30000</v>
      </c>
      <c r="O29">
        <f t="shared" si="0"/>
        <v>2</v>
      </c>
      <c r="P29">
        <f t="shared" si="1"/>
        <v>7526400</v>
      </c>
      <c r="Q29">
        <v>7.4066000000000007E-2</v>
      </c>
      <c r="R29">
        <v>4.3172000000000002E-2</v>
      </c>
      <c r="S29">
        <v>5.0619999999999997E-3</v>
      </c>
      <c r="T29">
        <v>1.6336E-2</v>
      </c>
      <c r="U29">
        <v>7.2760000000000003E-3</v>
      </c>
      <c r="V29">
        <v>5.3340000000000002E-3</v>
      </c>
      <c r="W29">
        <f>표1[[#This Row],[CPU reference time(s)]]/표1[[#This Row],[FPGA End-to-End time(s)]]</f>
        <v>1.7156027054572409</v>
      </c>
      <c r="X29">
        <f>표1[[#This Row],[Accumulation Time(s)]]/표1[[#This Row],[FPGA End-to-End time(s)]]*100</f>
        <v>12.355230241823403</v>
      </c>
    </row>
    <row r="30" spans="1:24">
      <c r="A30" s="1"/>
      <c r="B30">
        <v>29</v>
      </c>
      <c r="C30" s="2" t="s">
        <v>11</v>
      </c>
      <c r="D30">
        <v>7</v>
      </c>
      <c r="E30">
        <v>7</v>
      </c>
      <c r="F30">
        <f t="shared" si="2"/>
        <v>49</v>
      </c>
      <c r="G30">
        <v>960</v>
      </c>
      <c r="H30">
        <v>160</v>
      </c>
      <c r="I30">
        <v>49</v>
      </c>
      <c r="J30">
        <v>960</v>
      </c>
      <c r="K30">
        <v>125</v>
      </c>
      <c r="L30">
        <f t="shared" si="3"/>
        <v>5880</v>
      </c>
      <c r="M30">
        <f t="shared" si="4"/>
        <v>1531.25</v>
      </c>
      <c r="N30">
        <f>표1[[#This Row],[tile_IC]]*(표1[[#This Row],[tile_OC]]/4)</f>
        <v>30000</v>
      </c>
      <c r="O30">
        <f t="shared" si="0"/>
        <v>2</v>
      </c>
      <c r="P30">
        <f t="shared" si="1"/>
        <v>7526400</v>
      </c>
      <c r="Q30">
        <v>0.10764600000000001</v>
      </c>
      <c r="R30">
        <v>4.3338000000000002E-2</v>
      </c>
      <c r="S30">
        <v>1.1533E-2</v>
      </c>
      <c r="T30">
        <v>1.6898E-2</v>
      </c>
      <c r="U30">
        <v>5.7999999999999996E-3</v>
      </c>
      <c r="V30">
        <v>1.797E-3</v>
      </c>
      <c r="W30">
        <f>표1[[#This Row],[CPU reference time(s)]]/표1[[#This Row],[FPGA End-to-End time(s)]]</f>
        <v>2.4838709677419355</v>
      </c>
      <c r="X30">
        <f>표1[[#This Row],[Accumulation Time(s)]]/표1[[#This Row],[FPGA End-to-End time(s)]]*100</f>
        <v>4.146476533296414</v>
      </c>
    </row>
    <row r="31" spans="1:24">
      <c r="A31" s="1"/>
      <c r="B31">
        <v>30</v>
      </c>
      <c r="C31" s="2" t="s">
        <v>13</v>
      </c>
      <c r="D31">
        <v>7</v>
      </c>
      <c r="E31">
        <v>7</v>
      </c>
      <c r="F31">
        <f t="shared" si="2"/>
        <v>49</v>
      </c>
      <c r="G31">
        <v>160</v>
      </c>
      <c r="H31">
        <v>960</v>
      </c>
      <c r="I31">
        <v>49</v>
      </c>
      <c r="J31">
        <v>160</v>
      </c>
      <c r="K31">
        <v>750</v>
      </c>
      <c r="L31">
        <f t="shared" si="3"/>
        <v>980</v>
      </c>
      <c r="M31">
        <f t="shared" si="4"/>
        <v>9187.5</v>
      </c>
      <c r="N31">
        <f>표1[[#This Row],[tile_IC]]*(표1[[#This Row],[tile_OC]]/4)</f>
        <v>30000</v>
      </c>
      <c r="O31">
        <f t="shared" si="0"/>
        <v>2</v>
      </c>
      <c r="P31">
        <f t="shared" si="1"/>
        <v>7526400</v>
      </c>
      <c r="Q31">
        <v>6.9619E-2</v>
      </c>
      <c r="R31">
        <v>4.3185000000000001E-2</v>
      </c>
      <c r="S31">
        <v>4.81E-3</v>
      </c>
      <c r="T31">
        <v>1.6400999999999999E-2</v>
      </c>
      <c r="U31">
        <v>7.2760000000000003E-3</v>
      </c>
      <c r="V31">
        <v>5.5570000000000003E-3</v>
      </c>
      <c r="W31">
        <f>표1[[#This Row],[CPU reference time(s)]]/표1[[#This Row],[FPGA End-to-End time(s)]]</f>
        <v>1.6121106865809887</v>
      </c>
      <c r="X31">
        <f>표1[[#This Row],[Accumulation Time(s)]]/표1[[#This Row],[FPGA End-to-End time(s)]]*100</f>
        <v>12.867893944656711</v>
      </c>
    </row>
    <row r="32" spans="1:24">
      <c r="A32" s="1"/>
      <c r="B32">
        <v>31</v>
      </c>
      <c r="C32" s="2" t="s">
        <v>11</v>
      </c>
      <c r="D32">
        <v>7</v>
      </c>
      <c r="E32">
        <v>7</v>
      </c>
      <c r="F32">
        <f t="shared" si="2"/>
        <v>49</v>
      </c>
      <c r="G32">
        <v>960</v>
      </c>
      <c r="H32">
        <v>160</v>
      </c>
      <c r="I32">
        <v>49</v>
      </c>
      <c r="J32">
        <v>960</v>
      </c>
      <c r="K32">
        <v>125</v>
      </c>
      <c r="L32">
        <f t="shared" si="3"/>
        <v>5880</v>
      </c>
      <c r="M32">
        <f t="shared" si="4"/>
        <v>1531.25</v>
      </c>
      <c r="N32">
        <f>표1[[#This Row],[tile_IC]]*(표1[[#This Row],[tile_OC]]/4)</f>
        <v>30000</v>
      </c>
      <c r="O32">
        <f t="shared" si="0"/>
        <v>2</v>
      </c>
      <c r="P32">
        <f t="shared" si="1"/>
        <v>7526400</v>
      </c>
      <c r="Q32">
        <v>0.106435</v>
      </c>
      <c r="R32">
        <v>4.3087E-2</v>
      </c>
      <c r="S32">
        <v>1.1171E-2</v>
      </c>
      <c r="T32">
        <v>1.6582E-2</v>
      </c>
      <c r="U32">
        <v>5.7949999999999998E-3</v>
      </c>
      <c r="V32">
        <v>1.8389999999999999E-3</v>
      </c>
      <c r="W32">
        <f>표1[[#This Row],[CPU reference time(s)]]/표1[[#This Row],[FPGA End-to-End time(s)]]</f>
        <v>2.4702346415392116</v>
      </c>
      <c r="X32">
        <f>표1[[#This Row],[Accumulation Time(s)]]/표1[[#This Row],[FPGA End-to-End time(s)]]*100</f>
        <v>4.268108710283844</v>
      </c>
    </row>
    <row r="33" spans="1:24">
      <c r="A33" s="1">
        <v>7</v>
      </c>
      <c r="B33">
        <v>32</v>
      </c>
      <c r="C33" s="2" t="s">
        <v>13</v>
      </c>
      <c r="D33">
        <v>7</v>
      </c>
      <c r="E33">
        <v>7</v>
      </c>
      <c r="F33">
        <f t="shared" si="2"/>
        <v>49</v>
      </c>
      <c r="G33">
        <v>160</v>
      </c>
      <c r="H33">
        <v>960</v>
      </c>
      <c r="I33">
        <v>49</v>
      </c>
      <c r="J33">
        <v>160</v>
      </c>
      <c r="K33">
        <v>750</v>
      </c>
      <c r="L33">
        <f t="shared" si="3"/>
        <v>980</v>
      </c>
      <c r="M33">
        <f t="shared" si="4"/>
        <v>9187.5</v>
      </c>
      <c r="N33">
        <f>표1[[#This Row],[tile_IC]]*(표1[[#This Row],[tile_OC]]/4)</f>
        <v>30000</v>
      </c>
      <c r="O33">
        <f t="shared" si="0"/>
        <v>2</v>
      </c>
      <c r="P33">
        <f t="shared" si="1"/>
        <v>7526400</v>
      </c>
      <c r="Q33">
        <v>6.9916000000000006E-2</v>
      </c>
      <c r="R33">
        <v>4.3972999999999998E-2</v>
      </c>
      <c r="S33">
        <v>4.914E-3</v>
      </c>
      <c r="T33">
        <v>1.6622999999999999E-2</v>
      </c>
      <c r="U33">
        <v>7.2700000000000004E-3</v>
      </c>
      <c r="V33">
        <v>5.5209999999999999E-3</v>
      </c>
      <c r="W33">
        <f>표1[[#This Row],[CPU reference time(s)]]/표1[[#This Row],[FPGA End-to-End time(s)]]</f>
        <v>1.5899756668864988</v>
      </c>
      <c r="X33">
        <f>표1[[#This Row],[Accumulation Time(s)]]/표1[[#This Row],[FPGA End-to-End time(s)]]*100</f>
        <v>12.555431742205444</v>
      </c>
    </row>
    <row r="34" spans="1:24">
      <c r="A34" s="1"/>
      <c r="B34">
        <v>33</v>
      </c>
      <c r="C34" s="2" t="s">
        <v>11</v>
      </c>
      <c r="D34">
        <v>7</v>
      </c>
      <c r="E34">
        <v>7</v>
      </c>
      <c r="F34">
        <f t="shared" si="2"/>
        <v>49</v>
      </c>
      <c r="G34">
        <v>960</v>
      </c>
      <c r="H34">
        <v>320</v>
      </c>
      <c r="I34">
        <v>49</v>
      </c>
      <c r="J34">
        <v>960</v>
      </c>
      <c r="K34">
        <v>125</v>
      </c>
      <c r="L34">
        <f t="shared" si="3"/>
        <v>5880</v>
      </c>
      <c r="M34">
        <f t="shared" si="4"/>
        <v>1531.25</v>
      </c>
      <c r="N34">
        <f>표1[[#This Row],[tile_IC]]*(표1[[#This Row],[tile_OC]]/4)</f>
        <v>30000</v>
      </c>
      <c r="O34">
        <f t="shared" si="0"/>
        <v>3</v>
      </c>
      <c r="P34">
        <f t="shared" si="1"/>
        <v>15052800</v>
      </c>
      <c r="Q34">
        <v>0.20941599999999999</v>
      </c>
      <c r="R34">
        <v>7.3524000000000006E-2</v>
      </c>
      <c r="S34">
        <v>1.6187E-2</v>
      </c>
      <c r="T34">
        <v>3.3354000000000002E-2</v>
      </c>
      <c r="U34">
        <v>1.0815999999999999E-2</v>
      </c>
      <c r="V34">
        <v>3.0639999999999999E-3</v>
      </c>
      <c r="W34">
        <f>표1[[#This Row],[CPU reference time(s)]]/표1[[#This Row],[FPGA End-to-End time(s)]]</f>
        <v>2.8482672324683094</v>
      </c>
      <c r="X34">
        <f>표1[[#This Row],[Accumulation Time(s)]]/표1[[#This Row],[FPGA End-to-End time(s)]]*100</f>
        <v>4.1673467167183498</v>
      </c>
    </row>
    <row r="35" spans="1:24">
      <c r="A35" s="1" t="s">
        <v>15</v>
      </c>
      <c r="B35">
        <v>34</v>
      </c>
      <c r="C35" s="2" t="s">
        <v>16</v>
      </c>
      <c r="D35">
        <v>7</v>
      </c>
      <c r="E35">
        <v>7</v>
      </c>
      <c r="F35">
        <f t="shared" si="2"/>
        <v>49</v>
      </c>
      <c r="G35">
        <v>320</v>
      </c>
      <c r="H35">
        <v>1280</v>
      </c>
      <c r="I35">
        <v>49</v>
      </c>
      <c r="J35">
        <v>320</v>
      </c>
      <c r="K35">
        <v>375</v>
      </c>
      <c r="L35">
        <f t="shared" si="3"/>
        <v>1960</v>
      </c>
      <c r="M35">
        <f t="shared" si="4"/>
        <v>4593.75</v>
      </c>
      <c r="N35">
        <f>표1[[#This Row],[tile_IC]]*(표1[[#This Row],[tile_OC]]/4)</f>
        <v>30000</v>
      </c>
      <c r="O35">
        <f t="shared" si="0"/>
        <v>4</v>
      </c>
      <c r="P35">
        <f t="shared" si="1"/>
        <v>20070400</v>
      </c>
      <c r="Q35">
        <v>0.25597599999999998</v>
      </c>
      <c r="R35">
        <v>9.1178999999999996E-2</v>
      </c>
      <c r="S35">
        <v>1.1944E-2</v>
      </c>
      <c r="T35">
        <v>4.0677999999999999E-2</v>
      </c>
      <c r="U35">
        <v>1.6091000000000001E-2</v>
      </c>
      <c r="V35">
        <v>7.9089999999999994E-3</v>
      </c>
      <c r="W35">
        <f>표1[[#This Row],[CPU reference time(s)]]/표1[[#This Row],[FPGA End-to-End time(s)]]</f>
        <v>2.807400826944801</v>
      </c>
      <c r="X35">
        <f>표1[[#This Row],[Accumulation Time(s)]]/표1[[#This Row],[FPGA End-to-End time(s)]]*100</f>
        <v>8.6741464591627455</v>
      </c>
    </row>
    <row r="43" spans="1:24">
      <c r="E43" s="2"/>
    </row>
    <row r="52" spans="4:4">
      <c r="D52">
        <f>0.639/3.2</f>
        <v>0.19968749999999999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9358-41B2-A14B-AC73-37F28F32E503}">
  <dimension ref="A1:D2"/>
  <sheetViews>
    <sheetView workbookViewId="0">
      <selection activeCell="D1" sqref="A1:D1"/>
    </sheetView>
  </sheetViews>
  <sheetFormatPr baseColWidth="10" defaultRowHeight="18"/>
  <cols>
    <col min="1" max="1" width="20.85546875" customWidth="1"/>
    <col min="2" max="2" width="14.28515625" customWidth="1"/>
    <col min="3" max="3" width="20.7109375" customWidth="1"/>
    <col min="4" max="4" width="29.140625" customWidth="1"/>
  </cols>
  <sheetData>
    <row r="1" spans="1:4">
      <c r="A1" t="s">
        <v>29</v>
      </c>
      <c r="B1" t="s">
        <v>30</v>
      </c>
      <c r="C1" t="s">
        <v>31</v>
      </c>
      <c r="D1" t="s">
        <v>32</v>
      </c>
    </row>
    <row r="2" spans="1:4">
      <c r="A2">
        <f>SUM(표1[CPU reference time(s)])</f>
        <v>3.5714480000000006</v>
      </c>
      <c r="B2">
        <f>SUM(표1[FPGA End-to-End time(s)])</f>
        <v>2.133845</v>
      </c>
      <c r="C2">
        <f>A2/B2</f>
        <v>1.6737148199611502</v>
      </c>
      <c r="D2">
        <f>SUM(표1[CPU reference time(s)])/SUM(표1[Pure HW compute time(s)])</f>
        <v>10.400347120097148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Master Table</vt:lpstr>
      <vt:lpstr>Weighted Speedup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민서</dc:creator>
  <cp:lastModifiedBy>김 민서</cp:lastModifiedBy>
  <dcterms:created xsi:type="dcterms:W3CDTF">2026-02-12T08:31:16Z</dcterms:created>
  <dcterms:modified xsi:type="dcterms:W3CDTF">2026-03-11T09:20:41Z</dcterms:modified>
</cp:coreProperties>
</file>